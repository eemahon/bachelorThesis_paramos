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nda\Documents\LABORATORIO DE SUELOS\DATOS SERVICIOS-EXTERNOS\"/>
    </mc:Choice>
  </mc:AlternateContent>
  <xr:revisionPtr revIDLastSave="0" documentId="13_ncr:1_{9328B1FF-CB22-4CAF-AF50-E65CA5B9A62E}" xr6:coauthVersionLast="47" xr6:coauthVersionMax="47" xr10:uidLastSave="{00000000-0000-0000-0000-000000000000}"/>
  <bookViews>
    <workbookView xWindow="-120" yWindow="-120" windowWidth="20730" windowHeight="11040" activeTab="1" xr2:uid="{B012A8A5-02B9-45EB-8FFE-D9FE2E75D232}"/>
  </bookViews>
  <sheets>
    <sheet name="PROMEDIOS" sheetId="2" r:id="rId1"/>
    <sheet name="REP, Da, Humedad, MO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4" i="1" l="1"/>
  <c r="H8" i="1"/>
  <c r="J29" i="1"/>
  <c r="J26" i="1"/>
  <c r="H20" i="1"/>
  <c r="J17" i="1"/>
  <c r="H11" i="1"/>
  <c r="I8" i="1"/>
  <c r="I5" i="1"/>
  <c r="H2" i="1"/>
  <c r="G20" i="1"/>
  <c r="G8" i="1"/>
  <c r="G2" i="1"/>
  <c r="N20" i="1"/>
  <c r="N14" i="1"/>
  <c r="N12" i="1"/>
  <c r="N6" i="1"/>
  <c r="N4" i="1"/>
  <c r="N2" i="1"/>
  <c r="N16" i="1"/>
  <c r="N8" i="1"/>
  <c r="G29" i="1"/>
  <c r="H29" i="1"/>
  <c r="I29" i="1"/>
  <c r="G23" i="1"/>
  <c r="H23" i="1"/>
  <c r="I23" i="1"/>
  <c r="J23" i="1"/>
  <c r="G26" i="1"/>
  <c r="H26" i="1"/>
  <c r="I26" i="1"/>
  <c r="G14" i="1"/>
  <c r="H14" i="1"/>
  <c r="I14" i="1"/>
  <c r="G17" i="1"/>
  <c r="H17" i="1"/>
  <c r="I17" i="1"/>
  <c r="I20" i="1"/>
  <c r="J20" i="1"/>
  <c r="G5" i="1"/>
  <c r="H5" i="1"/>
  <c r="J5" i="1"/>
  <c r="J8" i="1"/>
  <c r="G11" i="1"/>
  <c r="I11" i="1"/>
  <c r="J11" i="1"/>
  <c r="J2" i="1"/>
  <c r="I2" i="1"/>
  <c r="N18" i="1"/>
  <c r="N10" i="1"/>
</calcChain>
</file>

<file path=xl/sharedStrings.xml><?xml version="1.0" encoding="utf-8"?>
<sst xmlns="http://schemas.openxmlformats.org/spreadsheetml/2006/main" count="73" uniqueCount="47">
  <si>
    <t>Código muestra</t>
  </si>
  <si>
    <t>Pomedio % MO</t>
  </si>
  <si>
    <t>pH</t>
  </si>
  <si>
    <t>CÓDIGO</t>
  </si>
  <si>
    <t>Numero de 
anillo</t>
  </si>
  <si>
    <t xml:space="preserve">Densidad 
aparente g/cm3
</t>
  </si>
  <si>
    <t>Contenido volumétrico
de agua 
pF 0   (Saturación) cm3/cm3</t>
  </si>
  <si>
    <t>Contenido volumétrico
de agua 
pF 2.52 (Capacidad de Campo) cm3/cm3</t>
  </si>
  <si>
    <t>Contenido volumétrico
de agua 
pF 4.2 (Punto de marchitez) cm3/cm3</t>
  </si>
  <si>
    <t>% MO</t>
  </si>
  <si>
    <t xml:space="preserve">Promedio Densidad 
aparente g/cm3
</t>
  </si>
  <si>
    <t>Promedio Contenido volumétrico
de agua 
pF 0   (Saturación) cm3/cm3</t>
  </si>
  <si>
    <t>Promedio Contenido volumétrico
de agua 
pF 2.52 (Capacidad de Campo) cm3/cm3</t>
  </si>
  <si>
    <t>Promedio Contenido volumétrico
de agua 
pF 4.2 (Punto de marchitez) cm3/cm3</t>
  </si>
  <si>
    <t>18C</t>
  </si>
  <si>
    <t>3C</t>
  </si>
  <si>
    <t>3x</t>
  </si>
  <si>
    <t>YR1 0-10</t>
  </si>
  <si>
    <t>YR1 10-20</t>
  </si>
  <si>
    <t>YR2 0-10</t>
  </si>
  <si>
    <t>YR2 10-20</t>
  </si>
  <si>
    <t>YR3 0-10</t>
  </si>
  <si>
    <t>YR3 10-20</t>
  </si>
  <si>
    <t>YR4 0-10</t>
  </si>
  <si>
    <t>YR4 10-20</t>
  </si>
  <si>
    <t>YR5 0-10</t>
  </si>
  <si>
    <t>YR5 10-20</t>
  </si>
  <si>
    <t>OhreN</t>
  </si>
  <si>
    <t>A902</t>
  </si>
  <si>
    <t>22B</t>
  </si>
  <si>
    <t>7x</t>
  </si>
  <si>
    <t>B085</t>
  </si>
  <si>
    <t>P76</t>
  </si>
  <si>
    <t>14=</t>
  </si>
  <si>
    <t>2=</t>
  </si>
  <si>
    <t>P114</t>
  </si>
  <si>
    <t>1Bx</t>
  </si>
  <si>
    <t>24x</t>
  </si>
  <si>
    <t>9x</t>
  </si>
  <si>
    <t>14B</t>
  </si>
  <si>
    <t>9C</t>
  </si>
  <si>
    <t>01..</t>
  </si>
  <si>
    <t>06..</t>
  </si>
  <si>
    <t>05..</t>
  </si>
  <si>
    <t>03..</t>
  </si>
  <si>
    <t>12..</t>
  </si>
  <si>
    <t>04..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</si>
</sst>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1" xfId="0" applyFont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6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2" fontId="0" fillId="0" borderId="1" xfId="0" applyNumberFormat="1" applyBorder="1"/>
    <xf numFmtId="0" fontId="4" fillId="0" borderId="1" xfId="0" applyFont="1" applyBorder="1" applyAlignment="1">
      <alignment vertical="center" textRotation="90" wrapText="1"/>
    </xf>
    <xf numFmtId="164" fontId="0" fillId="0" borderId="1" xfId="0" applyNumberFormat="1" applyBorder="1" applyAlignment="1">
      <alignment horizontal="center"/>
    </xf>
    <xf numFmtId="164" fontId="0" fillId="2" borderId="1" xfId="0" applyNumberFormat="1" applyFill="1" applyBorder="1"/>
    <xf numFmtId="164" fontId="0" fillId="0" borderId="1" xfId="0" applyNumberFormat="1" applyBorder="1" applyAlignment="1">
      <alignment horizontal="center" wrapText="1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4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9EDC5-C6A1-4FB8-B7D8-B0C59F781439}">
  <dimension ref="A1:K11"/>
  <sheetViews>
    <sheetView workbookViewId="0">
      <selection activeCell="I6" sqref="I6"/>
    </sheetView>
  </sheetViews>
  <sheetFormatPr baseColWidth="10" defaultRowHeight="15.75" x14ac:dyDescent="0.25"/>
  <cols>
    <col min="1" max="1" width="17" style="6" customWidth="1"/>
    <col min="2" max="7" width="11.42578125" style="6"/>
  </cols>
  <sheetData>
    <row r="1" spans="1:11" ht="120" x14ac:dyDescent="0.25">
      <c r="A1" s="4" t="s">
        <v>0</v>
      </c>
      <c r="B1" s="5" t="s">
        <v>1</v>
      </c>
      <c r="C1" s="9" t="s">
        <v>2</v>
      </c>
      <c r="D1" s="8" t="s">
        <v>5</v>
      </c>
      <c r="E1" s="8" t="s">
        <v>6</v>
      </c>
      <c r="F1" s="8" t="s">
        <v>7</v>
      </c>
      <c r="G1" s="8" t="s">
        <v>8</v>
      </c>
      <c r="I1" s="7"/>
      <c r="J1" s="7"/>
      <c r="K1" s="7"/>
    </row>
    <row r="2" spans="1:11" ht="15.75" customHeight="1" x14ac:dyDescent="0.25">
      <c r="A2" s="1" t="s">
        <v>17</v>
      </c>
      <c r="B2" s="17">
        <v>51.382663565036957</v>
      </c>
      <c r="C2" s="18">
        <v>6.02</v>
      </c>
      <c r="D2" s="16">
        <v>0.22723371980698606</v>
      </c>
      <c r="E2" s="16">
        <v>0.90149869181932196</v>
      </c>
      <c r="F2" s="16">
        <v>0.63080338425190163</v>
      </c>
      <c r="G2" s="14">
        <v>0.30475893716834096</v>
      </c>
    </row>
    <row r="3" spans="1:11" x14ac:dyDescent="0.25">
      <c r="A3" s="1" t="s">
        <v>18</v>
      </c>
      <c r="B3" s="17">
        <v>53.253182461103265</v>
      </c>
      <c r="C3" s="18">
        <v>5.55</v>
      </c>
      <c r="D3" s="14">
        <v>0.27173333333333333</v>
      </c>
      <c r="E3" s="14">
        <v>0.86396666666666666</v>
      </c>
      <c r="F3" s="14">
        <v>0.67019999999999991</v>
      </c>
      <c r="G3" s="14">
        <v>0.26511771037611342</v>
      </c>
    </row>
    <row r="4" spans="1:11" x14ac:dyDescent="0.25">
      <c r="A4" s="1" t="s">
        <v>19</v>
      </c>
      <c r="B4" s="17">
        <v>50.990099009900966</v>
      </c>
      <c r="C4" s="18">
        <v>5.0999999999999996</v>
      </c>
      <c r="D4" s="14">
        <v>0.17266932070162835</v>
      </c>
      <c r="E4" s="14">
        <v>0.95705688201125216</v>
      </c>
      <c r="F4" s="14">
        <v>0.60106946719690424</v>
      </c>
      <c r="G4" s="14">
        <v>0.1812984983652004</v>
      </c>
    </row>
    <row r="5" spans="1:11" x14ac:dyDescent="0.25">
      <c r="A5" s="1" t="s">
        <v>20</v>
      </c>
      <c r="B5" s="17">
        <v>34.471077686538251</v>
      </c>
      <c r="C5" s="18">
        <v>5.53</v>
      </c>
      <c r="D5" s="14">
        <v>0.29805985846442024</v>
      </c>
      <c r="E5" s="14">
        <v>0.84232187662499791</v>
      </c>
      <c r="F5" s="14">
        <v>0.66388188929029279</v>
      </c>
      <c r="G5" s="14">
        <v>0.24457456115773704</v>
      </c>
    </row>
    <row r="6" spans="1:11" x14ac:dyDescent="0.25">
      <c r="A6" s="1" t="s">
        <v>21</v>
      </c>
      <c r="B6" s="17">
        <v>71.367508488537936</v>
      </c>
      <c r="C6" s="18">
        <v>5.26</v>
      </c>
      <c r="D6" s="14">
        <v>0.19010000000000002</v>
      </c>
      <c r="E6" s="14">
        <v>0.91566666666666663</v>
      </c>
      <c r="F6" s="14">
        <v>0.65169999999999983</v>
      </c>
      <c r="G6" s="14">
        <v>0.25815811735647759</v>
      </c>
    </row>
    <row r="7" spans="1:11" x14ac:dyDescent="0.25">
      <c r="A7" s="1" t="s">
        <v>22</v>
      </c>
      <c r="B7" s="17">
        <v>64.677053698435316</v>
      </c>
      <c r="C7" s="18">
        <v>5.28</v>
      </c>
      <c r="D7" s="14">
        <v>0.23809999999999998</v>
      </c>
      <c r="E7" s="14">
        <v>0.87729999999999997</v>
      </c>
      <c r="F7" s="14">
        <v>0.65303333333333324</v>
      </c>
      <c r="G7" s="14">
        <v>0.3416781160313902</v>
      </c>
    </row>
    <row r="8" spans="1:11" x14ac:dyDescent="0.25">
      <c r="A8" s="1" t="s">
        <v>23</v>
      </c>
      <c r="B8" s="17">
        <v>61.669024045261679</v>
      </c>
      <c r="C8" s="18">
        <v>5.43</v>
      </c>
      <c r="D8" s="14">
        <v>0.25196666666666667</v>
      </c>
      <c r="E8" s="14">
        <v>0.87360000000000004</v>
      </c>
      <c r="F8" s="14">
        <v>0.58789999999999998</v>
      </c>
      <c r="G8" s="14">
        <v>0.3194083436604836</v>
      </c>
    </row>
    <row r="9" spans="1:11" x14ac:dyDescent="0.25">
      <c r="A9" s="1" t="s">
        <v>24</v>
      </c>
      <c r="B9" s="17">
        <v>58.552546744036135</v>
      </c>
      <c r="C9" s="18">
        <v>5.56</v>
      </c>
      <c r="D9" s="14">
        <v>0.29336666666666655</v>
      </c>
      <c r="E9" s="14">
        <v>0.84360000000000002</v>
      </c>
      <c r="F9" s="14">
        <v>0.67476666666666663</v>
      </c>
      <c r="G9" s="14">
        <v>0.3259158252276888</v>
      </c>
    </row>
    <row r="10" spans="1:11" x14ac:dyDescent="0.25">
      <c r="A10" s="1" t="s">
        <v>25</v>
      </c>
      <c r="B10" s="17">
        <v>63.274306695359329</v>
      </c>
      <c r="C10" s="18">
        <v>5.43</v>
      </c>
      <c r="D10" s="14">
        <v>0.23323333333333338</v>
      </c>
      <c r="E10" s="14">
        <v>0.86750000000000005</v>
      </c>
      <c r="F10" s="14">
        <v>0.61276666666666657</v>
      </c>
      <c r="G10" s="14">
        <v>0.31765846190139962</v>
      </c>
    </row>
    <row r="11" spans="1:11" x14ac:dyDescent="0.25">
      <c r="A11" s="1" t="s">
        <v>26</v>
      </c>
      <c r="B11" s="17">
        <v>60.823057704706642</v>
      </c>
      <c r="C11" s="18">
        <v>5.59</v>
      </c>
      <c r="D11" s="14">
        <v>0.2782</v>
      </c>
      <c r="E11" s="14">
        <v>0.83983333333333332</v>
      </c>
      <c r="F11" s="14">
        <v>0.65273333333333328</v>
      </c>
      <c r="G11" s="14">
        <v>0.31861521707805518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1AFCC-EDFF-49D8-B6E4-A20279ABDB6A}">
  <dimension ref="A1:N31"/>
  <sheetViews>
    <sheetView tabSelected="1" topLeftCell="A21" workbookViewId="0">
      <selection activeCell="C35" sqref="C35"/>
    </sheetView>
  </sheetViews>
  <sheetFormatPr baseColWidth="10" defaultRowHeight="15" x14ac:dyDescent="0.25"/>
  <cols>
    <col min="12" max="12" width="17" customWidth="1"/>
  </cols>
  <sheetData>
    <row r="1" spans="1:14" ht="135" x14ac:dyDescent="0.25">
      <c r="A1" s="13" t="s">
        <v>3</v>
      </c>
      <c r="B1" s="13" t="s">
        <v>4</v>
      </c>
      <c r="C1" s="8" t="s">
        <v>5</v>
      </c>
      <c r="D1" s="8" t="s">
        <v>6</v>
      </c>
      <c r="E1" s="8" t="s">
        <v>7</v>
      </c>
      <c r="F1" s="8" t="s">
        <v>8</v>
      </c>
      <c r="G1" s="8" t="s">
        <v>10</v>
      </c>
      <c r="H1" s="8" t="s">
        <v>11</v>
      </c>
      <c r="I1" s="8" t="s">
        <v>12</v>
      </c>
      <c r="J1" s="8" t="s">
        <v>13</v>
      </c>
      <c r="L1" s="11" t="s">
        <v>0</v>
      </c>
      <c r="M1" s="2" t="s">
        <v>9</v>
      </c>
      <c r="N1" s="10" t="s">
        <v>1</v>
      </c>
    </row>
    <row r="2" spans="1:14" ht="15" customHeight="1" x14ac:dyDescent="0.25">
      <c r="A2" s="19" t="s">
        <v>17</v>
      </c>
      <c r="B2" s="2" t="s">
        <v>27</v>
      </c>
      <c r="C2" s="12">
        <v>0.19795295375039465</v>
      </c>
      <c r="D2" s="3">
        <v>0.91757482213664732</v>
      </c>
      <c r="E2" s="3">
        <v>0.6325780232904058</v>
      </c>
      <c r="F2" s="3">
        <v>0.26222339327974364</v>
      </c>
      <c r="G2" s="20">
        <f>AVERAGE(C2:C4)</f>
        <v>0.22723371980698606</v>
      </c>
      <c r="H2" s="20">
        <f>AVERAGE(D2:D4)</f>
        <v>0.90149869181932196</v>
      </c>
      <c r="I2" s="20">
        <f t="shared" ref="I2" si="0">AVERAGE(E2:E4)</f>
        <v>0.63080338425190163</v>
      </c>
      <c r="J2" s="20">
        <f>AVERAGE(F2:F4)</f>
        <v>0.30475893716834096</v>
      </c>
      <c r="L2" s="19" t="s">
        <v>17</v>
      </c>
      <c r="M2" s="12">
        <v>48.93009985734664</v>
      </c>
      <c r="N2" s="21">
        <f>AVERAGE(M2:M3)</f>
        <v>51.382663565036957</v>
      </c>
    </row>
    <row r="3" spans="1:14" x14ac:dyDescent="0.25">
      <c r="A3" s="19"/>
      <c r="B3" s="2" t="s">
        <v>28</v>
      </c>
      <c r="C3" s="12">
        <v>0.24154820567056362</v>
      </c>
      <c r="D3" s="3">
        <v>0.90822125332131853</v>
      </c>
      <c r="E3" s="3">
        <v>0.60983212946529897</v>
      </c>
      <c r="F3" s="3">
        <v>0.31985560401762897</v>
      </c>
      <c r="G3" s="20"/>
      <c r="H3" s="20"/>
      <c r="I3" s="20"/>
      <c r="J3" s="20"/>
      <c r="L3" s="19"/>
      <c r="M3" s="12">
        <v>53.835227272727273</v>
      </c>
      <c r="N3" s="22"/>
    </row>
    <row r="4" spans="1:14" x14ac:dyDescent="0.25">
      <c r="A4" s="19"/>
      <c r="B4" s="2" t="s">
        <v>29</v>
      </c>
      <c r="C4" s="12">
        <v>0.2422</v>
      </c>
      <c r="D4" s="3">
        <v>0.87870000000000004</v>
      </c>
      <c r="E4" s="3">
        <v>0.65</v>
      </c>
      <c r="F4" s="3">
        <v>0.33219781420765021</v>
      </c>
      <c r="G4" s="20"/>
      <c r="H4" s="20"/>
      <c r="I4" s="20"/>
      <c r="J4" s="20"/>
      <c r="L4" s="19" t="s">
        <v>18</v>
      </c>
      <c r="M4" s="12">
        <v>54.314002828854314</v>
      </c>
      <c r="N4" s="21">
        <f t="shared" ref="N4" si="1">AVERAGE(M4:M5)</f>
        <v>53.253182461103265</v>
      </c>
    </row>
    <row r="5" spans="1:14" x14ac:dyDescent="0.25">
      <c r="A5" s="19" t="s">
        <v>18</v>
      </c>
      <c r="B5" s="2" t="s">
        <v>30</v>
      </c>
      <c r="C5" s="12">
        <v>0.28920000000000001</v>
      </c>
      <c r="D5" s="3">
        <v>0.86310000000000009</v>
      </c>
      <c r="E5" s="3">
        <v>0.67719999999999991</v>
      </c>
      <c r="F5" s="3">
        <v>0.28508620199146517</v>
      </c>
      <c r="G5" s="20">
        <f t="shared" ref="G5:H5" si="2">AVERAGE(C5:C7)</f>
        <v>0.27173333333333333</v>
      </c>
      <c r="H5" s="20">
        <f t="shared" si="2"/>
        <v>0.86396666666666666</v>
      </c>
      <c r="I5" s="20">
        <f t="shared" ref="I5:J5" si="3">AVERAGE(E5:E7)</f>
        <v>0.67019999999999991</v>
      </c>
      <c r="J5" s="20">
        <f t="shared" si="3"/>
        <v>0.26511771037611342</v>
      </c>
      <c r="L5" s="19"/>
      <c r="M5" s="12">
        <v>52.192362093352209</v>
      </c>
      <c r="N5" s="22"/>
    </row>
    <row r="6" spans="1:14" x14ac:dyDescent="0.25">
      <c r="A6" s="19"/>
      <c r="B6" s="2">
        <v>90</v>
      </c>
      <c r="C6" s="12">
        <v>0.27779999999999999</v>
      </c>
      <c r="D6" s="3">
        <v>0.85929999999999984</v>
      </c>
      <c r="E6" s="3">
        <v>0.66989999999999994</v>
      </c>
      <c r="F6" s="3">
        <v>0.26887625698324008</v>
      </c>
      <c r="G6" s="20"/>
      <c r="H6" s="20"/>
      <c r="I6" s="20"/>
      <c r="J6" s="20"/>
      <c r="L6" s="19" t="s">
        <v>19</v>
      </c>
      <c r="M6" s="12">
        <v>51.202263083451157</v>
      </c>
      <c r="N6" s="21">
        <f t="shared" ref="N6" si="4">AVERAGE(M6:M7)</f>
        <v>50.990099009900966</v>
      </c>
    </row>
    <row r="7" spans="1:14" x14ac:dyDescent="0.25">
      <c r="A7" s="19"/>
      <c r="B7" s="2">
        <v>109</v>
      </c>
      <c r="C7" s="12">
        <v>0.24820000000000009</v>
      </c>
      <c r="D7" s="3">
        <v>0.86949999999999994</v>
      </c>
      <c r="E7" s="3">
        <v>0.66349999999999998</v>
      </c>
      <c r="F7" s="3">
        <v>0.24139067215363511</v>
      </c>
      <c r="G7" s="20"/>
      <c r="H7" s="20"/>
      <c r="I7" s="20"/>
      <c r="J7" s="20"/>
      <c r="L7" s="19"/>
      <c r="M7" s="12">
        <v>50.777934936350775</v>
      </c>
      <c r="N7" s="22"/>
    </row>
    <row r="8" spans="1:14" x14ac:dyDescent="0.25">
      <c r="A8" s="19" t="s">
        <v>19</v>
      </c>
      <c r="B8" s="2" t="s">
        <v>31</v>
      </c>
      <c r="C8" s="12">
        <v>0.14133139693490418</v>
      </c>
      <c r="D8" s="3">
        <v>0.96907084385620124</v>
      </c>
      <c r="E8" s="3">
        <v>0.59019991360015978</v>
      </c>
      <c r="F8" s="3">
        <v>0.15103822364746622</v>
      </c>
      <c r="G8" s="20">
        <f t="shared" ref="G8" si="5">AVERAGE(C8:C10)</f>
        <v>0.17266932070162835</v>
      </c>
      <c r="H8" s="20">
        <f>AVERAGE(D8,D10)</f>
        <v>0.95705688201125216</v>
      </c>
      <c r="I8" s="20">
        <f t="shared" ref="I8:J8" si="6">AVERAGE(E8:E10)</f>
        <v>0.60106946719690424</v>
      </c>
      <c r="J8" s="20">
        <f t="shared" si="6"/>
        <v>0.1812984983652004</v>
      </c>
      <c r="L8" s="19" t="s">
        <v>20</v>
      </c>
      <c r="M8" s="12">
        <v>33.664772727272805</v>
      </c>
      <c r="N8" s="21">
        <f t="shared" ref="N8" si="7">AVERAGE(M8:M9)</f>
        <v>34.471077686538251</v>
      </c>
    </row>
    <row r="9" spans="1:14" ht="15" customHeight="1" x14ac:dyDescent="0.25">
      <c r="A9" s="19"/>
      <c r="B9" s="2" t="s">
        <v>32</v>
      </c>
      <c r="C9" s="12">
        <v>0.15813476332819223</v>
      </c>
      <c r="D9" s="15">
        <v>1.0130375790153214</v>
      </c>
      <c r="E9" s="3">
        <v>0.67567635135202708</v>
      </c>
      <c r="F9" s="3">
        <v>0.15994201776622877</v>
      </c>
      <c r="G9" s="20"/>
      <c r="H9" s="20"/>
      <c r="I9" s="20"/>
      <c r="J9" s="20"/>
      <c r="L9" s="19"/>
      <c r="M9" s="12">
        <v>35.277382645803691</v>
      </c>
      <c r="N9" s="22"/>
    </row>
    <row r="10" spans="1:14" ht="15" customHeight="1" x14ac:dyDescent="0.25">
      <c r="A10" s="19"/>
      <c r="B10" s="2">
        <v>726</v>
      </c>
      <c r="C10" s="12">
        <v>0.21854180184178865</v>
      </c>
      <c r="D10" s="3">
        <v>0.9450429201663032</v>
      </c>
      <c r="E10" s="3">
        <v>0.53733213663852586</v>
      </c>
      <c r="F10" s="3">
        <v>0.2329152536819063</v>
      </c>
      <c r="G10" s="20"/>
      <c r="H10" s="20"/>
      <c r="I10" s="20"/>
      <c r="J10" s="20"/>
      <c r="L10" s="19" t="s">
        <v>21</v>
      </c>
      <c r="M10" s="12">
        <v>70.921985815602824</v>
      </c>
      <c r="N10" s="21">
        <f t="shared" ref="N10" si="8">AVERAGE(M10:M11)</f>
        <v>71.367508488537936</v>
      </c>
    </row>
    <row r="11" spans="1:14" ht="15" customHeight="1" x14ac:dyDescent="0.25">
      <c r="A11" s="19" t="s">
        <v>20</v>
      </c>
      <c r="B11" s="2" t="s">
        <v>33</v>
      </c>
      <c r="C11" s="12">
        <v>0.28399999999999992</v>
      </c>
      <c r="D11" s="3">
        <v>0.85189999999999999</v>
      </c>
      <c r="E11" s="3">
        <v>0.72860000000000014</v>
      </c>
      <c r="F11" s="3">
        <v>0.23081099656357376</v>
      </c>
      <c r="G11" s="20">
        <f t="shared" ref="G11:H11" si="9">AVERAGE(C11:C13)</f>
        <v>0.29805985846442024</v>
      </c>
      <c r="H11" s="20">
        <f t="shared" si="9"/>
        <v>0.84232187662499791</v>
      </c>
      <c r="I11" s="20">
        <f t="shared" ref="I11:J11" si="10">AVERAGE(E11:E13)</f>
        <v>0.66388188929029279</v>
      </c>
      <c r="J11" s="20">
        <f t="shared" si="10"/>
        <v>0.24457456115773704</v>
      </c>
      <c r="L11" s="19"/>
      <c r="M11" s="12">
        <v>71.813031161473063</v>
      </c>
      <c r="N11" s="22"/>
    </row>
    <row r="12" spans="1:14" ht="15" customHeight="1" x14ac:dyDescent="0.25">
      <c r="A12" s="19"/>
      <c r="B12" s="2" t="s">
        <v>34</v>
      </c>
      <c r="C12" s="12">
        <v>0.31900000000000006</v>
      </c>
      <c r="D12" s="3">
        <v>0.81859999999999977</v>
      </c>
      <c r="E12" s="3">
        <v>0.6581999999999999</v>
      </c>
      <c r="F12" s="3">
        <v>0.26330158730158731</v>
      </c>
      <c r="G12" s="20"/>
      <c r="H12" s="20"/>
      <c r="I12" s="20"/>
      <c r="J12" s="20"/>
      <c r="L12" s="19" t="s">
        <v>22</v>
      </c>
      <c r="M12" s="12">
        <v>65.291607396870589</v>
      </c>
      <c r="N12" s="21">
        <f t="shared" ref="N12" si="11">AVERAGE(M12:M13)</f>
        <v>64.677053698435316</v>
      </c>
    </row>
    <row r="13" spans="1:14" ht="15" customHeight="1" x14ac:dyDescent="0.25">
      <c r="A13" s="19"/>
      <c r="B13" s="2" t="s">
        <v>35</v>
      </c>
      <c r="C13" s="12">
        <v>0.29117957539326073</v>
      </c>
      <c r="D13" s="3">
        <v>0.85646562987499408</v>
      </c>
      <c r="E13" s="3">
        <v>0.60484566787087823</v>
      </c>
      <c r="F13" s="3">
        <v>0.23961109960805005</v>
      </c>
      <c r="G13" s="20"/>
      <c r="H13" s="20"/>
      <c r="I13" s="20"/>
      <c r="J13" s="20"/>
      <c r="L13" s="19"/>
      <c r="M13" s="12">
        <v>64.062500000000028</v>
      </c>
      <c r="N13" s="22"/>
    </row>
    <row r="14" spans="1:14" ht="15" customHeight="1" x14ac:dyDescent="0.25">
      <c r="A14" s="19" t="s">
        <v>21</v>
      </c>
      <c r="B14" s="2" t="s">
        <v>36</v>
      </c>
      <c r="C14" s="12">
        <v>0.12980000000000003</v>
      </c>
      <c r="D14" s="3">
        <v>0.94599999999999995</v>
      </c>
      <c r="E14" s="3">
        <v>0.64569999999999994</v>
      </c>
      <c r="F14" s="3">
        <v>0.22609080118694366</v>
      </c>
      <c r="G14" s="20">
        <f>AVERAGE(C14:C16)</f>
        <v>0.19010000000000002</v>
      </c>
      <c r="H14" s="20">
        <f>AVERAGE(D14:D16)</f>
        <v>0.91566666666666663</v>
      </c>
      <c r="I14" s="20">
        <f t="shared" ref="I14" si="12">AVERAGE(E14:E16)</f>
        <v>0.65169999999999983</v>
      </c>
      <c r="J14" s="20">
        <f>AVERAGE(F14:F15)</f>
        <v>0.25815811735647759</v>
      </c>
      <c r="L14" s="19" t="s">
        <v>23</v>
      </c>
      <c r="M14" s="12">
        <v>61.669024045261658</v>
      </c>
      <c r="N14" s="21">
        <f t="shared" ref="N14" si="13">AVERAGE(M14:M15)</f>
        <v>61.669024045261679</v>
      </c>
    </row>
    <row r="15" spans="1:14" ht="15" customHeight="1" x14ac:dyDescent="0.25">
      <c r="A15" s="19"/>
      <c r="B15" s="2" t="s">
        <v>37</v>
      </c>
      <c r="C15" s="12">
        <v>0.17019999999999996</v>
      </c>
      <c r="D15" s="3">
        <v>0.93669999999999987</v>
      </c>
      <c r="E15" s="3">
        <v>0.66259999999999986</v>
      </c>
      <c r="F15" s="3">
        <v>0.29022543352601154</v>
      </c>
      <c r="G15" s="20"/>
      <c r="H15" s="20"/>
      <c r="I15" s="20"/>
      <c r="J15" s="20"/>
      <c r="L15" s="19"/>
      <c r="M15" s="12">
        <v>61.669024045261708</v>
      </c>
      <c r="N15" s="22"/>
    </row>
    <row r="16" spans="1:14" ht="15" customHeight="1" x14ac:dyDescent="0.25">
      <c r="A16" s="19"/>
      <c r="B16" s="2" t="s">
        <v>38</v>
      </c>
      <c r="C16" s="12">
        <v>0.27029999999999998</v>
      </c>
      <c r="D16" s="3">
        <v>0.86429999999999985</v>
      </c>
      <c r="E16" s="3">
        <v>0.64679999999999982</v>
      </c>
      <c r="F16" s="15">
        <v>0.45762816455696198</v>
      </c>
      <c r="G16" s="20"/>
      <c r="H16" s="20"/>
      <c r="I16" s="20"/>
      <c r="J16" s="20"/>
      <c r="L16" s="19" t="s">
        <v>24</v>
      </c>
      <c r="M16" s="12">
        <v>58.014184397163163</v>
      </c>
      <c r="N16" s="21">
        <f t="shared" ref="N16" si="14">AVERAGE(M16:M17)</f>
        <v>58.552546744036135</v>
      </c>
    </row>
    <row r="17" spans="1:14" ht="15" customHeight="1" x14ac:dyDescent="0.25">
      <c r="A17" s="19" t="s">
        <v>22</v>
      </c>
      <c r="B17" s="2" t="s">
        <v>39</v>
      </c>
      <c r="C17" s="12">
        <v>0.21099999999999994</v>
      </c>
      <c r="D17" s="3">
        <v>0.89549999999999974</v>
      </c>
      <c r="E17" s="3">
        <v>0.68129999999999991</v>
      </c>
      <c r="F17" s="3">
        <v>0.29932558139534859</v>
      </c>
      <c r="G17" s="20">
        <f t="shared" ref="G17" si="15">AVERAGE(C17:C19)</f>
        <v>0.23809999999999998</v>
      </c>
      <c r="H17" s="20">
        <f t="shared" ref="H17" si="16">AVERAGE(D17:D19)</f>
        <v>0.87729999999999997</v>
      </c>
      <c r="I17" s="20">
        <f t="shared" ref="I17" si="17">AVERAGE(E17:E19)</f>
        <v>0.65303333333333324</v>
      </c>
      <c r="J17" s="20">
        <f t="shared" ref="J17" si="18">AVERAGE(F17:F19)</f>
        <v>0.3416781160313902</v>
      </c>
      <c r="L17" s="19"/>
      <c r="M17" s="12">
        <v>59.090909090909108</v>
      </c>
      <c r="N17" s="22"/>
    </row>
    <row r="18" spans="1:14" ht="15" customHeight="1" x14ac:dyDescent="0.25">
      <c r="A18" s="19"/>
      <c r="B18" s="2" t="s">
        <v>40</v>
      </c>
      <c r="C18" s="12">
        <v>0.23299999999999998</v>
      </c>
      <c r="D18" s="3">
        <v>0.88290000000000013</v>
      </c>
      <c r="E18" s="3">
        <v>0.64180000000000004</v>
      </c>
      <c r="F18" s="3">
        <v>0.33593915343915354</v>
      </c>
      <c r="G18" s="20"/>
      <c r="H18" s="20"/>
      <c r="I18" s="20"/>
      <c r="J18" s="20"/>
      <c r="L18" s="19" t="s">
        <v>25</v>
      </c>
      <c r="M18" s="12">
        <v>63.675213675213662</v>
      </c>
      <c r="N18" s="21">
        <f t="shared" ref="N18" si="19">AVERAGE(M18:M19)</f>
        <v>63.274306695359329</v>
      </c>
    </row>
    <row r="19" spans="1:14" ht="15" customHeight="1" x14ac:dyDescent="0.25">
      <c r="A19" s="19"/>
      <c r="B19" s="2" t="s">
        <v>41</v>
      </c>
      <c r="C19" s="12">
        <v>0.27029999999999998</v>
      </c>
      <c r="D19" s="3">
        <v>0.85349999999999981</v>
      </c>
      <c r="E19" s="3">
        <v>0.6359999999999999</v>
      </c>
      <c r="F19" s="3">
        <v>0.38976961325966836</v>
      </c>
      <c r="G19" s="20"/>
      <c r="H19" s="20"/>
      <c r="I19" s="20"/>
      <c r="J19" s="20"/>
      <c r="L19" s="19"/>
      <c r="M19" s="12">
        <v>62.873399715504988</v>
      </c>
      <c r="N19" s="22"/>
    </row>
    <row r="20" spans="1:14" ht="15" customHeight="1" x14ac:dyDescent="0.25">
      <c r="A20" s="19" t="s">
        <v>23</v>
      </c>
      <c r="B20" s="2" t="s">
        <v>42</v>
      </c>
      <c r="C20" s="12">
        <v>0.26980000000000004</v>
      </c>
      <c r="D20" s="3">
        <v>0.86180000000000012</v>
      </c>
      <c r="E20" s="3">
        <v>0.60840000000000005</v>
      </c>
      <c r="F20" s="3">
        <v>0.3460785340314137</v>
      </c>
      <c r="G20" s="20">
        <f t="shared" ref="G20" si="20">AVERAGE(C20:C22)</f>
        <v>0.25196666666666667</v>
      </c>
      <c r="H20" s="20">
        <f t="shared" ref="H20" si="21">AVERAGE(D20:D22)</f>
        <v>0.87360000000000004</v>
      </c>
      <c r="I20" s="20">
        <f t="shared" ref="I20" si="22">AVERAGE(E20:E22)</f>
        <v>0.58789999999999998</v>
      </c>
      <c r="J20" s="20">
        <f t="shared" ref="J20" si="23">AVERAGE(F20:F22)</f>
        <v>0.3194083436604836</v>
      </c>
      <c r="L20" s="19" t="s">
        <v>26</v>
      </c>
      <c r="M20" s="12">
        <v>60.511363636363626</v>
      </c>
      <c r="N20" s="21">
        <f t="shared" ref="N20" si="24">AVERAGE(M20:M21)</f>
        <v>60.823057704706642</v>
      </c>
    </row>
    <row r="21" spans="1:14" ht="15" customHeight="1" x14ac:dyDescent="0.25">
      <c r="A21" s="19"/>
      <c r="B21" s="2" t="s">
        <v>43</v>
      </c>
      <c r="C21" s="12">
        <v>0.2450999999999999</v>
      </c>
      <c r="D21" s="3">
        <v>0.87450000000000006</v>
      </c>
      <c r="E21" s="3">
        <v>0.56380000000000008</v>
      </c>
      <c r="F21" s="3">
        <v>0.30586295264623947</v>
      </c>
      <c r="G21" s="20"/>
      <c r="H21" s="20"/>
      <c r="I21" s="20"/>
      <c r="J21" s="20"/>
      <c r="L21" s="19"/>
      <c r="M21" s="12">
        <v>61.134751773049665</v>
      </c>
      <c r="N21" s="22"/>
    </row>
    <row r="22" spans="1:14" ht="15" customHeight="1" x14ac:dyDescent="0.25">
      <c r="A22" s="19"/>
      <c r="B22" s="2">
        <v>117</v>
      </c>
      <c r="C22" s="12">
        <v>0.24100000000000008</v>
      </c>
      <c r="D22" s="3">
        <v>0.88449999999999984</v>
      </c>
      <c r="E22" s="3">
        <v>0.59150000000000003</v>
      </c>
      <c r="F22" s="3">
        <v>0.30628354430379762</v>
      </c>
      <c r="G22" s="20"/>
      <c r="H22" s="20"/>
      <c r="I22" s="20"/>
      <c r="J22" s="20"/>
    </row>
    <row r="23" spans="1:14" ht="15" customHeight="1" x14ac:dyDescent="0.25">
      <c r="A23" s="19" t="s">
        <v>24</v>
      </c>
      <c r="B23" s="2" t="s">
        <v>44</v>
      </c>
      <c r="C23" s="12">
        <v>0.30159999999999998</v>
      </c>
      <c r="D23" s="3">
        <v>0.84730000000000028</v>
      </c>
      <c r="E23" s="3">
        <v>0.68699999999999983</v>
      </c>
      <c r="F23" s="3">
        <v>0.33284143426294827</v>
      </c>
      <c r="G23" s="20">
        <f>AVERAGE(C23:C25)</f>
        <v>0.29336666666666655</v>
      </c>
      <c r="H23" s="20">
        <f>AVERAGE(D23:D25)</f>
        <v>0.84360000000000002</v>
      </c>
      <c r="I23" s="20">
        <f t="shared" ref="I23" si="25">AVERAGE(E23:E25)</f>
        <v>0.67476666666666663</v>
      </c>
      <c r="J23" s="20">
        <f>AVERAGE(F23:F25)</f>
        <v>0.3259158252276888</v>
      </c>
    </row>
    <row r="24" spans="1:14" ht="15" customHeight="1" x14ac:dyDescent="0.25">
      <c r="A24" s="19"/>
      <c r="B24" s="2" t="s">
        <v>45</v>
      </c>
      <c r="C24" s="12">
        <v>0.29919999999999985</v>
      </c>
      <c r="D24" s="3">
        <v>0.85089999999999977</v>
      </c>
      <c r="E24" s="3">
        <v>0.69190000000000007</v>
      </c>
      <c r="F24" s="3">
        <v>0.32929704142011823</v>
      </c>
      <c r="G24" s="20"/>
      <c r="H24" s="20"/>
      <c r="I24" s="20"/>
      <c r="J24" s="20"/>
    </row>
    <row r="25" spans="1:14" ht="15" customHeight="1" x14ac:dyDescent="0.25">
      <c r="A25" s="19"/>
      <c r="B25" s="2" t="s">
        <v>46</v>
      </c>
      <c r="C25" s="12">
        <v>0.27929999999999994</v>
      </c>
      <c r="D25" s="3">
        <v>0.83260000000000023</v>
      </c>
      <c r="E25" s="3">
        <v>0.64539999999999986</v>
      </c>
      <c r="F25" s="3">
        <v>0.31560899999999997</v>
      </c>
      <c r="G25" s="20"/>
      <c r="H25" s="20"/>
      <c r="I25" s="20"/>
      <c r="J25" s="20"/>
    </row>
    <row r="26" spans="1:14" ht="15" customHeight="1" x14ac:dyDescent="0.25">
      <c r="A26" s="19" t="s">
        <v>25</v>
      </c>
      <c r="B26" s="2" t="s">
        <v>14</v>
      </c>
      <c r="C26" s="12">
        <v>0.23790000000000006</v>
      </c>
      <c r="D26" s="3">
        <v>0.8771000000000001</v>
      </c>
      <c r="E26" s="3">
        <v>0.60789999999999988</v>
      </c>
      <c r="F26" s="3">
        <v>0.31566232686980616</v>
      </c>
      <c r="G26" s="20">
        <f t="shared" ref="G26" si="26">AVERAGE(C26:C28)</f>
        <v>0.23323333333333338</v>
      </c>
      <c r="H26" s="20">
        <f t="shared" ref="H26" si="27">AVERAGE(D26:D28)</f>
        <v>0.86750000000000005</v>
      </c>
      <c r="I26" s="20">
        <f t="shared" ref="I26" si="28">AVERAGE(E26:E28)</f>
        <v>0.61276666666666657</v>
      </c>
      <c r="J26" s="20">
        <f t="shared" ref="J26" si="29">AVERAGE(F26:F28)</f>
        <v>0.31765846190139962</v>
      </c>
    </row>
    <row r="27" spans="1:14" ht="15" customHeight="1" x14ac:dyDescent="0.25">
      <c r="A27" s="19"/>
      <c r="B27" s="2">
        <v>105</v>
      </c>
      <c r="C27" s="12">
        <v>0.24109999999999998</v>
      </c>
      <c r="D27" s="3">
        <v>0.86060000000000003</v>
      </c>
      <c r="E27" s="3">
        <v>0.62319999999999998</v>
      </c>
      <c r="F27" s="3">
        <v>0.3196757660167131</v>
      </c>
      <c r="G27" s="20"/>
      <c r="H27" s="20"/>
      <c r="I27" s="20"/>
      <c r="J27" s="20"/>
    </row>
    <row r="28" spans="1:14" ht="15" customHeight="1" x14ac:dyDescent="0.25">
      <c r="A28" s="19"/>
      <c r="B28" s="2">
        <v>101</v>
      </c>
      <c r="C28" s="12">
        <v>0.22070000000000006</v>
      </c>
      <c r="D28" s="3">
        <v>0.86479999999999968</v>
      </c>
      <c r="E28" s="3">
        <v>0.60719999999999974</v>
      </c>
      <c r="F28" s="3">
        <v>0.31763729281767966</v>
      </c>
      <c r="G28" s="20"/>
      <c r="H28" s="20"/>
      <c r="I28" s="20"/>
      <c r="J28" s="20"/>
    </row>
    <row r="29" spans="1:14" ht="15" customHeight="1" x14ac:dyDescent="0.25">
      <c r="A29" s="19" t="s">
        <v>26</v>
      </c>
      <c r="B29" s="2" t="s">
        <v>16</v>
      </c>
      <c r="C29" s="12">
        <v>0.27950000000000003</v>
      </c>
      <c r="D29" s="3">
        <v>0.83219999999999983</v>
      </c>
      <c r="E29" s="3">
        <v>0.65469999999999984</v>
      </c>
      <c r="F29" s="3">
        <v>0.32137062256809346</v>
      </c>
      <c r="G29" s="20">
        <f>AVERAGE(C29:C31)</f>
        <v>0.2782</v>
      </c>
      <c r="H29" s="20">
        <f>AVERAGE(D29:D31)</f>
        <v>0.83983333333333332</v>
      </c>
      <c r="I29" s="20">
        <f t="shared" ref="I29" si="30">AVERAGE(E29:E31)</f>
        <v>0.65273333333333328</v>
      </c>
      <c r="J29" s="20">
        <f>AVERAGE(F29:F31)</f>
        <v>0.31861521707805518</v>
      </c>
    </row>
    <row r="30" spans="1:14" ht="15" customHeight="1" x14ac:dyDescent="0.25">
      <c r="A30" s="19"/>
      <c r="B30" s="2">
        <v>115</v>
      </c>
      <c r="C30" s="12">
        <v>0.26579999999999998</v>
      </c>
      <c r="D30" s="3">
        <v>0.84819999999999973</v>
      </c>
      <c r="E30" s="3">
        <v>0.61829999999999996</v>
      </c>
      <c r="F30" s="3">
        <v>0.30824311377245511</v>
      </c>
      <c r="G30" s="20"/>
      <c r="H30" s="20"/>
      <c r="I30" s="20"/>
      <c r="J30" s="20"/>
    </row>
    <row r="31" spans="1:14" ht="15" customHeight="1" x14ac:dyDescent="0.25">
      <c r="A31" s="19"/>
      <c r="B31" s="2" t="s">
        <v>15</v>
      </c>
      <c r="C31" s="12">
        <v>0.28929999999999995</v>
      </c>
      <c r="D31" s="3">
        <v>0.83910000000000018</v>
      </c>
      <c r="E31" s="3">
        <v>0.68520000000000003</v>
      </c>
      <c r="F31" s="3">
        <v>0.32623191489361697</v>
      </c>
      <c r="G31" s="20"/>
      <c r="H31" s="20"/>
      <c r="I31" s="20"/>
      <c r="J31" s="20"/>
    </row>
  </sheetData>
  <mergeCells count="70">
    <mergeCell ref="N2:N3"/>
    <mergeCell ref="N4:N5"/>
    <mergeCell ref="N6:N7"/>
    <mergeCell ref="L2:L3"/>
    <mergeCell ref="L4:L5"/>
    <mergeCell ref="L6:L7"/>
    <mergeCell ref="N18:N19"/>
    <mergeCell ref="N20:N21"/>
    <mergeCell ref="N8:N9"/>
    <mergeCell ref="N10:N11"/>
    <mergeCell ref="N12:N13"/>
    <mergeCell ref="N14:N15"/>
    <mergeCell ref="N16:N17"/>
    <mergeCell ref="L18:L19"/>
    <mergeCell ref="L20:L21"/>
    <mergeCell ref="L8:L9"/>
    <mergeCell ref="L10:L11"/>
    <mergeCell ref="L12:L13"/>
    <mergeCell ref="L14:L15"/>
    <mergeCell ref="L16:L17"/>
    <mergeCell ref="I8:I10"/>
    <mergeCell ref="J8:J10"/>
    <mergeCell ref="G11:G13"/>
    <mergeCell ref="H11:H13"/>
    <mergeCell ref="H29:H31"/>
    <mergeCell ref="I29:I31"/>
    <mergeCell ref="J29:J31"/>
    <mergeCell ref="I2:I4"/>
    <mergeCell ref="J2:J4"/>
    <mergeCell ref="G5:G7"/>
    <mergeCell ref="H5:H7"/>
    <mergeCell ref="I5:I7"/>
    <mergeCell ref="J5:J7"/>
    <mergeCell ref="I11:I13"/>
    <mergeCell ref="J11:J13"/>
    <mergeCell ref="G14:G16"/>
    <mergeCell ref="H14:H16"/>
    <mergeCell ref="I14:I16"/>
    <mergeCell ref="J14:J16"/>
    <mergeCell ref="G29:G31"/>
    <mergeCell ref="G23:G25"/>
    <mergeCell ref="H17:H19"/>
    <mergeCell ref="I17:I19"/>
    <mergeCell ref="J17:J19"/>
    <mergeCell ref="G20:G22"/>
    <mergeCell ref="H20:H22"/>
    <mergeCell ref="I20:I22"/>
    <mergeCell ref="J20:J22"/>
    <mergeCell ref="G17:G19"/>
    <mergeCell ref="I23:I25"/>
    <mergeCell ref="J23:J25"/>
    <mergeCell ref="G26:G28"/>
    <mergeCell ref="H26:H28"/>
    <mergeCell ref="I26:I28"/>
    <mergeCell ref="J26:J28"/>
    <mergeCell ref="A2:A4"/>
    <mergeCell ref="A5:A7"/>
    <mergeCell ref="A8:A10"/>
    <mergeCell ref="A11:A13"/>
    <mergeCell ref="H23:H25"/>
    <mergeCell ref="G2:G4"/>
    <mergeCell ref="H2:H4"/>
    <mergeCell ref="G8:G10"/>
    <mergeCell ref="H8:H10"/>
    <mergeCell ref="A29:A31"/>
    <mergeCell ref="A14:A16"/>
    <mergeCell ref="A17:A19"/>
    <mergeCell ref="A20:A22"/>
    <mergeCell ref="A23:A25"/>
    <mergeCell ref="A26:A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PROMEDIOS</vt:lpstr>
      <vt:lpstr>REP, Da, Humedad, 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Suqui</dc:creator>
  <cp:lastModifiedBy>Amanda Suqui</cp:lastModifiedBy>
  <dcterms:created xsi:type="dcterms:W3CDTF">2026-03-02T01:45:02Z</dcterms:created>
  <dcterms:modified xsi:type="dcterms:W3CDTF">2026-05-06T14:04:08Z</dcterms:modified>
</cp:coreProperties>
</file>