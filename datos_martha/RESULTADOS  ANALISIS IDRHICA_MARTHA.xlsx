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a\Documents\LABORATORIO DE SUELOS\DATOS SERVICIOS-EXTERNOS\"/>
    </mc:Choice>
  </mc:AlternateContent>
  <xr:revisionPtr revIDLastSave="0" documentId="13_ncr:1_{2E93C190-F944-446F-87BE-96F03065BA10}" xr6:coauthVersionLast="47" xr6:coauthVersionMax="47" xr10:uidLastSave="{00000000-0000-0000-0000-000000000000}"/>
  <bookViews>
    <workbookView xWindow="-120" yWindow="-120" windowWidth="20730" windowHeight="11040" xr2:uid="{B012A8A5-02B9-45EB-8FFE-D9FE2E75D232}"/>
  </bookViews>
  <sheets>
    <sheet name="Pomedios, pH,MO," sheetId="2" r:id="rId1"/>
    <sheet name="REP, Da, Humedad, M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H35" i="1"/>
  <c r="I35" i="1"/>
  <c r="J35" i="1"/>
  <c r="G38" i="1"/>
  <c r="H38" i="1"/>
  <c r="I38" i="1"/>
  <c r="J38" i="1"/>
  <c r="G41" i="1"/>
  <c r="H41" i="1"/>
  <c r="I41" i="1"/>
  <c r="J41" i="1"/>
  <c r="G44" i="1"/>
  <c r="H44" i="1"/>
  <c r="I44" i="1"/>
  <c r="J44" i="1"/>
  <c r="G47" i="1"/>
  <c r="H47" i="1"/>
  <c r="I47" i="1"/>
  <c r="J47" i="1"/>
  <c r="G50" i="1"/>
  <c r="H50" i="1"/>
  <c r="I50" i="1"/>
  <c r="J50" i="1"/>
  <c r="G53" i="1"/>
  <c r="H53" i="1"/>
  <c r="I53" i="1"/>
  <c r="J53" i="1"/>
  <c r="G56" i="1"/>
  <c r="H56" i="1"/>
  <c r="I56" i="1"/>
  <c r="J56" i="1"/>
  <c r="G59" i="1"/>
  <c r="H59" i="1"/>
  <c r="I59" i="1"/>
  <c r="J59" i="1"/>
  <c r="G62" i="1"/>
  <c r="H62" i="1"/>
  <c r="I62" i="1"/>
  <c r="J62" i="1"/>
  <c r="G65" i="1"/>
  <c r="H65" i="1"/>
  <c r="I65" i="1"/>
  <c r="J65" i="1"/>
  <c r="G68" i="1"/>
  <c r="H68" i="1"/>
  <c r="I68" i="1"/>
  <c r="J68" i="1"/>
  <c r="G71" i="1"/>
  <c r="H71" i="1"/>
  <c r="I71" i="1"/>
  <c r="J71" i="1"/>
  <c r="G74" i="1"/>
  <c r="H74" i="1"/>
  <c r="I74" i="1"/>
  <c r="J74" i="1"/>
  <c r="G77" i="1"/>
  <c r="H77" i="1"/>
  <c r="I77" i="1"/>
  <c r="J77" i="1"/>
  <c r="G80" i="1"/>
  <c r="H80" i="1"/>
  <c r="I80" i="1"/>
  <c r="J80" i="1"/>
  <c r="G83" i="1"/>
  <c r="H83" i="1"/>
  <c r="I83" i="1"/>
  <c r="J83" i="1"/>
  <c r="G86" i="1"/>
  <c r="H86" i="1"/>
  <c r="I86" i="1"/>
  <c r="J86" i="1"/>
  <c r="G89" i="1"/>
  <c r="H89" i="1"/>
  <c r="I89" i="1"/>
  <c r="J89" i="1"/>
  <c r="G92" i="1"/>
  <c r="H92" i="1"/>
  <c r="I92" i="1"/>
  <c r="J92" i="1"/>
  <c r="G95" i="1"/>
  <c r="H95" i="1"/>
  <c r="I95" i="1"/>
  <c r="J95" i="1"/>
  <c r="G98" i="1"/>
  <c r="H98" i="1"/>
  <c r="I98" i="1"/>
  <c r="J98" i="1"/>
  <c r="G101" i="1"/>
  <c r="H101" i="1"/>
  <c r="I101" i="1"/>
  <c r="J101" i="1"/>
  <c r="G104" i="1"/>
  <c r="H104" i="1"/>
  <c r="I104" i="1"/>
  <c r="J104" i="1"/>
  <c r="G107" i="1"/>
  <c r="H107" i="1"/>
  <c r="I107" i="1"/>
  <c r="J107" i="1"/>
  <c r="G110" i="1"/>
  <c r="H110" i="1"/>
  <c r="I110" i="1"/>
  <c r="J110" i="1"/>
  <c r="G113" i="1"/>
  <c r="H113" i="1"/>
  <c r="I113" i="1"/>
  <c r="J113" i="1"/>
  <c r="G29" i="1"/>
  <c r="H29" i="1"/>
  <c r="I29" i="1"/>
  <c r="J29" i="1"/>
  <c r="G32" i="1"/>
  <c r="H32" i="1"/>
  <c r="I32" i="1"/>
  <c r="J32" i="1"/>
  <c r="G23" i="1"/>
  <c r="H23" i="1"/>
  <c r="I23" i="1"/>
  <c r="J23" i="1"/>
  <c r="G26" i="1"/>
  <c r="H26" i="1"/>
  <c r="I26" i="1"/>
  <c r="J26" i="1"/>
  <c r="G14" i="1"/>
  <c r="H14" i="1"/>
  <c r="I14" i="1"/>
  <c r="J14" i="1"/>
  <c r="G17" i="1"/>
  <c r="H17" i="1"/>
  <c r="I17" i="1"/>
  <c r="J17" i="1"/>
  <c r="G20" i="1"/>
  <c r="H20" i="1"/>
  <c r="I20" i="1"/>
  <c r="J20" i="1"/>
  <c r="G5" i="1"/>
  <c r="H5" i="1"/>
  <c r="I5" i="1"/>
  <c r="J5" i="1"/>
  <c r="G8" i="1"/>
  <c r="H8" i="1"/>
  <c r="I8" i="1"/>
  <c r="J8" i="1"/>
  <c r="G11" i="1"/>
  <c r="H11" i="1"/>
  <c r="I11" i="1"/>
  <c r="J11" i="1"/>
  <c r="J2" i="1"/>
  <c r="H2" i="1"/>
  <c r="G2" i="1"/>
  <c r="I2" i="1"/>
  <c r="N76" i="1"/>
  <c r="N74" i="1"/>
  <c r="N72" i="1"/>
  <c r="N70" i="1"/>
  <c r="N68" i="1"/>
  <c r="N66" i="1"/>
  <c r="N64" i="1"/>
  <c r="N62" i="1"/>
  <c r="N60" i="1"/>
  <c r="N58" i="1"/>
  <c r="N56" i="1"/>
  <c r="N54" i="1"/>
  <c r="N52" i="1"/>
  <c r="N50" i="1"/>
  <c r="N48" i="1"/>
  <c r="N46" i="1"/>
  <c r="N44" i="1"/>
  <c r="N42" i="1"/>
  <c r="N40" i="1"/>
  <c r="N38" i="1"/>
  <c r="N36" i="1"/>
  <c r="N34" i="1"/>
  <c r="N32" i="1"/>
  <c r="N30" i="1"/>
  <c r="N28" i="1"/>
  <c r="N26" i="1"/>
  <c r="N24" i="1"/>
  <c r="N22" i="1"/>
  <c r="N20" i="1"/>
  <c r="N18" i="1"/>
  <c r="N16" i="1"/>
  <c r="N14" i="1"/>
  <c r="N12" i="1"/>
  <c r="N10" i="1"/>
  <c r="N8" i="1"/>
  <c r="N6" i="1"/>
  <c r="N4" i="1"/>
  <c r="N2" i="1"/>
</calcChain>
</file>

<file path=xl/sharedStrings.xml><?xml version="1.0" encoding="utf-8"?>
<sst xmlns="http://schemas.openxmlformats.org/spreadsheetml/2006/main" count="205" uniqueCount="123">
  <si>
    <t>Código muestra</t>
  </si>
  <si>
    <t>Pomedio % MO</t>
  </si>
  <si>
    <t>pH</t>
  </si>
  <si>
    <t>YL1 0-10</t>
  </si>
  <si>
    <t>YL1 10-20</t>
  </si>
  <si>
    <t>YL2 0-10</t>
  </si>
  <si>
    <t>YL2 10-20</t>
  </si>
  <si>
    <t>YL3 0-10</t>
  </si>
  <si>
    <t>YL3 10-20</t>
  </si>
  <si>
    <t>YL4 0-10</t>
  </si>
  <si>
    <t>YL4 10-20</t>
  </si>
  <si>
    <t>YL5 0-10</t>
  </si>
  <si>
    <t>YL5 10-20</t>
  </si>
  <si>
    <t>LR1 0-10</t>
  </si>
  <si>
    <t>LR1 10-20</t>
  </si>
  <si>
    <t>LR2 0-10</t>
  </si>
  <si>
    <t>LR2 10-20</t>
  </si>
  <si>
    <t>LR3 0-10</t>
  </si>
  <si>
    <t>LR3 10-20</t>
  </si>
  <si>
    <t>LR4 0-10</t>
  </si>
  <si>
    <t>LR4 10-20</t>
  </si>
  <si>
    <t>LB1 0-10</t>
  </si>
  <si>
    <t>LB1 10-20</t>
  </si>
  <si>
    <t>LB2 0-10</t>
  </si>
  <si>
    <t>LB2 10-20</t>
  </si>
  <si>
    <t>LB3 0-10</t>
  </si>
  <si>
    <t>LB3 10-20</t>
  </si>
  <si>
    <t>LB4 0-10</t>
  </si>
  <si>
    <t>LB4 10-20</t>
  </si>
  <si>
    <t>LB5 10-20</t>
  </si>
  <si>
    <t>YH1 10-20</t>
  </si>
  <si>
    <t>YH2 0-10</t>
  </si>
  <si>
    <t>YH2 10-20</t>
  </si>
  <si>
    <t>YH3 10-20</t>
  </si>
  <si>
    <t>YH4 0-10</t>
  </si>
  <si>
    <t>YH4 10-20</t>
  </si>
  <si>
    <t>YH5 0-10</t>
  </si>
  <si>
    <t>YH5 10-20</t>
  </si>
  <si>
    <t>LB5 0-10</t>
  </si>
  <si>
    <t>YH1 0-10</t>
  </si>
  <si>
    <t>YH3 0-10</t>
  </si>
  <si>
    <t>CÓDIGO</t>
  </si>
  <si>
    <t>Numero de 
anillo</t>
  </si>
  <si>
    <t>X484</t>
  </si>
  <si>
    <t>P105</t>
  </si>
  <si>
    <t>A1056</t>
  </si>
  <si>
    <t>G3</t>
  </si>
  <si>
    <t>G4</t>
  </si>
  <si>
    <t>I 826</t>
  </si>
  <si>
    <t>P130</t>
  </si>
  <si>
    <t>M3C</t>
  </si>
  <si>
    <t>X878</t>
  </si>
  <si>
    <t>5x</t>
  </si>
  <si>
    <t>23x</t>
  </si>
  <si>
    <t>18x</t>
  </si>
  <si>
    <t>2x</t>
  </si>
  <si>
    <t>17=</t>
  </si>
  <si>
    <t>19..</t>
  </si>
  <si>
    <t>13..</t>
  </si>
  <si>
    <t>07..</t>
  </si>
  <si>
    <t>20..</t>
  </si>
  <si>
    <t>14..</t>
  </si>
  <si>
    <t>08..</t>
  </si>
  <si>
    <t>24=</t>
  </si>
  <si>
    <t>15..</t>
  </si>
  <si>
    <t>09..</t>
  </si>
  <si>
    <t>4=</t>
  </si>
  <si>
    <t>16..</t>
  </si>
  <si>
    <t>10..</t>
  </si>
  <si>
    <t xml:space="preserve">Densidad 
aparente g/cm3
</t>
  </si>
  <si>
    <t>Contenido volumétrico
de agua 
pF 0   (Saturación) cm3/cm3</t>
  </si>
  <si>
    <t>Contenido volumétrico
de agua 
pF 2.52 (Capacidad de Campo) cm3/cm3</t>
  </si>
  <si>
    <t>Contenido volumétrico
de agua 
pF 4.2 (Punto de marchitez) cm3/cm3</t>
  </si>
  <si>
    <t>% MO</t>
  </si>
  <si>
    <t xml:space="preserve">Promedio Densidad 
aparente g/cm3
</t>
  </si>
  <si>
    <t>Promedio Contenido volumétrico
de agua 
pF 0   (Saturación) cm3/cm3</t>
  </si>
  <si>
    <t>Promedio Contenido volumétrico
de agua 
pF 2.52 (Capacidad de Campo) cm3/cm3</t>
  </si>
  <si>
    <t>Promedio Contenido volumétrico
de agua 
pF 4.2 (Punto de marchitez) cm3/cm3</t>
  </si>
  <si>
    <t>23..</t>
  </si>
  <si>
    <t>17..</t>
  </si>
  <si>
    <t>11..</t>
  </si>
  <si>
    <t>24..</t>
  </si>
  <si>
    <t>18..</t>
  </si>
  <si>
    <t>1C</t>
  </si>
  <si>
    <t>15B</t>
  </si>
  <si>
    <t>10C</t>
  </si>
  <si>
    <t>2C</t>
  </si>
  <si>
    <t>18C</t>
  </si>
  <si>
    <t>11C</t>
  </si>
  <si>
    <t>3C</t>
  </si>
  <si>
    <t>10B</t>
  </si>
  <si>
    <t>22C</t>
  </si>
  <si>
    <t>20C</t>
  </si>
  <si>
    <t>6.x</t>
  </si>
  <si>
    <t>3x</t>
  </si>
  <si>
    <t>24C</t>
  </si>
  <si>
    <t>7B</t>
  </si>
  <si>
    <t>8C</t>
  </si>
  <si>
    <t>5B</t>
  </si>
  <si>
    <t>7C</t>
  </si>
  <si>
    <t>14C</t>
  </si>
  <si>
    <t>6C</t>
  </si>
  <si>
    <t>12C</t>
  </si>
  <si>
    <t>5C</t>
  </si>
  <si>
    <t>21..</t>
  </si>
  <si>
    <t>22..</t>
  </si>
  <si>
    <t>13C</t>
  </si>
  <si>
    <t>23=</t>
  </si>
  <si>
    <t>11=</t>
  </si>
  <si>
    <t>20x</t>
  </si>
  <si>
    <t>X56</t>
  </si>
  <si>
    <t>A1086</t>
  </si>
  <si>
    <t>X515</t>
  </si>
  <si>
    <t>B340</t>
  </si>
  <si>
    <t>21x</t>
  </si>
  <si>
    <t>3=</t>
  </si>
  <si>
    <t>22=</t>
  </si>
  <si>
    <t>17x</t>
  </si>
  <si>
    <t>16x</t>
  </si>
  <si>
    <t>12x</t>
  </si>
  <si>
    <t>G5</t>
  </si>
  <si>
    <t>B018</t>
  </si>
  <si>
    <t>12=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</si>
</sst>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" xfId="0" applyNumberFormat="1" applyBorder="1"/>
    <xf numFmtId="0" fontId="4" fillId="0" borderId="1" xfId="0" applyFont="1" applyBorder="1" applyAlignment="1">
      <alignment vertical="center" textRotation="90" wrapText="1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EDC5-C6A1-4FB8-B7D8-B0C59F781439}">
  <dimension ref="A1:L40"/>
  <sheetViews>
    <sheetView tabSelected="1" workbookViewId="0">
      <selection activeCell="D39" sqref="D39"/>
    </sheetView>
  </sheetViews>
  <sheetFormatPr baseColWidth="10" defaultRowHeight="15.75" x14ac:dyDescent="0.25"/>
  <cols>
    <col min="1" max="1" width="17" style="10" customWidth="1"/>
    <col min="2" max="7" width="11.42578125" style="10"/>
  </cols>
  <sheetData>
    <row r="1" spans="1:12" ht="120" x14ac:dyDescent="0.25">
      <c r="A1" s="8" t="s">
        <v>0</v>
      </c>
      <c r="B1" s="9" t="s">
        <v>1</v>
      </c>
      <c r="C1" s="17" t="s">
        <v>2</v>
      </c>
      <c r="D1" s="16" t="s">
        <v>69</v>
      </c>
      <c r="E1" s="16" t="s">
        <v>70</v>
      </c>
      <c r="F1" s="16" t="s">
        <v>71</v>
      </c>
      <c r="G1" s="16" t="s">
        <v>72</v>
      </c>
      <c r="I1" s="15"/>
      <c r="J1" s="14"/>
      <c r="K1" s="14"/>
      <c r="L1" s="14"/>
    </row>
    <row r="2" spans="1:12" ht="15.75" customHeight="1" x14ac:dyDescent="0.25">
      <c r="A2" s="1" t="s">
        <v>3</v>
      </c>
      <c r="B2" s="11">
        <v>49.501246882793012</v>
      </c>
      <c r="C2" s="1">
        <v>5.92</v>
      </c>
      <c r="D2" s="7">
        <v>0.30517927406891304</v>
      </c>
      <c r="E2" s="7">
        <v>0.81972315191237966</v>
      </c>
      <c r="F2" s="7">
        <v>0.57767219273110737</v>
      </c>
      <c r="G2" s="7">
        <v>0.26858795110676609</v>
      </c>
      <c r="I2" s="15"/>
      <c r="J2" s="14"/>
      <c r="K2" s="14"/>
      <c r="L2" s="14"/>
    </row>
    <row r="3" spans="1:12" x14ac:dyDescent="0.25">
      <c r="A3" s="1" t="s">
        <v>4</v>
      </c>
      <c r="B3" s="11">
        <v>45.755305867665385</v>
      </c>
      <c r="C3" s="1">
        <v>6.14</v>
      </c>
      <c r="D3" s="7">
        <v>0.32858390801839193</v>
      </c>
      <c r="E3" s="7">
        <v>0.81037735428760149</v>
      </c>
      <c r="F3" s="7">
        <v>0.65686487612981803</v>
      </c>
      <c r="G3" s="7">
        <v>0.28616890543745283</v>
      </c>
    </row>
    <row r="4" spans="1:12" x14ac:dyDescent="0.25">
      <c r="A4" s="1" t="s">
        <v>5</v>
      </c>
      <c r="B4" s="11">
        <v>49.378340539746134</v>
      </c>
      <c r="C4" s="1">
        <v>5.72</v>
      </c>
      <c r="D4" s="7">
        <v>0.38233953876484655</v>
      </c>
      <c r="E4" s="7">
        <v>0.81767517852772176</v>
      </c>
      <c r="F4" s="7">
        <v>0.56089055220882766</v>
      </c>
      <c r="G4" s="7">
        <v>0.34984308156509275</v>
      </c>
    </row>
    <row r="5" spans="1:12" x14ac:dyDescent="0.25">
      <c r="A5" s="1" t="s">
        <v>6</v>
      </c>
      <c r="B5" s="11">
        <v>47.752808988764045</v>
      </c>
      <c r="C5" s="1">
        <v>5.87</v>
      </c>
      <c r="D5" s="7">
        <v>0.40689575480456625</v>
      </c>
      <c r="E5" s="7">
        <v>0.8077370687387595</v>
      </c>
      <c r="F5" s="7">
        <v>0.66339588937245886</v>
      </c>
      <c r="G5" s="7">
        <v>0.41457927771097863</v>
      </c>
    </row>
    <row r="6" spans="1:12" x14ac:dyDescent="0.25">
      <c r="A6" s="1" t="s">
        <v>7</v>
      </c>
      <c r="B6" s="11">
        <v>47.652897077123839</v>
      </c>
      <c r="C6" s="1">
        <v>5.84</v>
      </c>
      <c r="D6" s="7">
        <v>0.46244015037494496</v>
      </c>
      <c r="E6" s="7">
        <v>0.73612184276233117</v>
      </c>
      <c r="F6" s="7">
        <v>0.45926329380090297</v>
      </c>
      <c r="G6" s="7">
        <v>0.31167861431007227</v>
      </c>
    </row>
    <row r="7" spans="1:12" x14ac:dyDescent="0.25">
      <c r="A7" s="1" t="s">
        <v>8</v>
      </c>
      <c r="B7" s="11">
        <v>47.012802275960205</v>
      </c>
      <c r="C7" s="1">
        <v>5.78</v>
      </c>
      <c r="D7" s="7">
        <v>0.53295127574839452</v>
      </c>
      <c r="E7" s="7">
        <v>0.77188613540654361</v>
      </c>
      <c r="F7" s="7">
        <v>0.60833316010386851</v>
      </c>
      <c r="G7" s="7">
        <v>0.48312371122897302</v>
      </c>
    </row>
    <row r="8" spans="1:12" x14ac:dyDescent="0.25">
      <c r="A8" s="1" t="s">
        <v>9</v>
      </c>
      <c r="B8" s="11">
        <v>55.665722379603409</v>
      </c>
      <c r="C8" s="1">
        <v>5.68</v>
      </c>
      <c r="D8" s="7">
        <v>0.31890000000000002</v>
      </c>
      <c r="E8" s="7">
        <v>0.8080666666666666</v>
      </c>
      <c r="F8" s="7">
        <v>0.57556666666666667</v>
      </c>
      <c r="G8" s="7">
        <v>0.3062381112946142</v>
      </c>
    </row>
    <row r="9" spans="1:12" x14ac:dyDescent="0.25">
      <c r="A9" s="1" t="s">
        <v>10</v>
      </c>
      <c r="B9" s="11">
        <v>53.551647952543789</v>
      </c>
      <c r="C9" s="1">
        <v>5.77</v>
      </c>
      <c r="D9" s="7">
        <v>0.36100000000000004</v>
      </c>
      <c r="E9" s="7">
        <v>0.82766666666666666</v>
      </c>
      <c r="F9" s="7">
        <v>0.67656666666666665</v>
      </c>
      <c r="G9" s="7">
        <v>0.38463396699056007</v>
      </c>
    </row>
    <row r="10" spans="1:12" x14ac:dyDescent="0.25">
      <c r="A10" s="1" t="s">
        <v>11</v>
      </c>
      <c r="B10" s="11">
        <v>50.743977658569911</v>
      </c>
      <c r="C10" s="1">
        <v>5.74</v>
      </c>
      <c r="D10" s="7">
        <v>0.33690000000000003</v>
      </c>
      <c r="E10" s="7">
        <v>0.80923333333333325</v>
      </c>
      <c r="F10" s="7">
        <v>0.52840000000000009</v>
      </c>
      <c r="G10" s="7">
        <v>0.33559220456005129</v>
      </c>
    </row>
    <row r="11" spans="1:12" x14ac:dyDescent="0.25">
      <c r="A11" s="1" t="s">
        <v>12</v>
      </c>
      <c r="B11" s="11">
        <v>46.388101983002841</v>
      </c>
      <c r="C11" s="1">
        <v>5.75</v>
      </c>
      <c r="D11" s="7">
        <v>0.36516666666666664</v>
      </c>
      <c r="E11" s="7">
        <v>0.81179999999999997</v>
      </c>
      <c r="F11" s="7">
        <v>0.62173333333333336</v>
      </c>
      <c r="G11" s="7">
        <v>0.37905603484150546</v>
      </c>
    </row>
    <row r="12" spans="1:12" x14ac:dyDescent="0.25">
      <c r="A12" s="1" t="s">
        <v>13</v>
      </c>
      <c r="B12" s="11">
        <v>50.320259530785862</v>
      </c>
      <c r="C12" s="1">
        <v>5.66</v>
      </c>
      <c r="D12" s="7">
        <v>0.37690000000000001</v>
      </c>
      <c r="E12" s="7">
        <v>0.81396666666666662</v>
      </c>
      <c r="F12" s="7">
        <v>0.66506666666666658</v>
      </c>
      <c r="G12" s="7">
        <v>0.33429578108639385</v>
      </c>
    </row>
    <row r="13" spans="1:12" x14ac:dyDescent="0.25">
      <c r="A13" s="1" t="s">
        <v>14</v>
      </c>
      <c r="B13" s="11">
        <v>52.173634734262379</v>
      </c>
      <c r="C13" s="1">
        <v>5.86</v>
      </c>
      <c r="D13" s="7">
        <v>0.36183333333333328</v>
      </c>
      <c r="E13" s="7">
        <v>0.81733333333333347</v>
      </c>
      <c r="F13" s="7">
        <v>0.67949999999999999</v>
      </c>
      <c r="G13" s="7">
        <v>0.36710922022916886</v>
      </c>
    </row>
    <row r="14" spans="1:12" x14ac:dyDescent="0.25">
      <c r="A14" s="1" t="s">
        <v>15</v>
      </c>
      <c r="B14" s="11">
        <v>53.675259832891783</v>
      </c>
      <c r="C14" s="1">
        <v>5.36</v>
      </c>
      <c r="D14" s="7">
        <v>0.26533333333333325</v>
      </c>
      <c r="E14" s="7">
        <v>0.85470000000000013</v>
      </c>
      <c r="F14" s="7">
        <v>0.65379999999999994</v>
      </c>
      <c r="G14" s="7">
        <v>0.34294423058613283</v>
      </c>
    </row>
    <row r="15" spans="1:12" x14ac:dyDescent="0.25">
      <c r="A15" s="1" t="s">
        <v>16</v>
      </c>
      <c r="B15" s="11">
        <v>51.85459504102046</v>
      </c>
      <c r="C15" s="1">
        <v>5.29</v>
      </c>
      <c r="D15" s="7">
        <v>0.2941333333333333</v>
      </c>
      <c r="E15" s="7">
        <v>0.84709999999999985</v>
      </c>
      <c r="F15" s="7">
        <v>0.67946666666666677</v>
      </c>
      <c r="G15" s="7">
        <v>0.31339281655372392</v>
      </c>
    </row>
    <row r="16" spans="1:12" x14ac:dyDescent="0.25">
      <c r="A16" s="1" t="s">
        <v>17</v>
      </c>
      <c r="B16" s="11">
        <v>28.846153846153832</v>
      </c>
      <c r="C16" s="1">
        <v>6.27</v>
      </c>
      <c r="D16" s="7">
        <v>0.48903333333333326</v>
      </c>
      <c r="E16" s="7">
        <v>0.78790000000000016</v>
      </c>
      <c r="F16" s="7">
        <v>0.61049999999999993</v>
      </c>
      <c r="G16" s="7">
        <v>0.30136829837861262</v>
      </c>
    </row>
    <row r="17" spans="1:7" x14ac:dyDescent="0.25">
      <c r="A17" s="1" t="s">
        <v>18</v>
      </c>
      <c r="B17" s="11">
        <v>27.524893314367013</v>
      </c>
      <c r="C17" s="1">
        <v>6.64</v>
      </c>
      <c r="D17" s="7">
        <v>0.54986666666666684</v>
      </c>
      <c r="E17" s="7">
        <v>0.7645333333333334</v>
      </c>
      <c r="F17" s="7">
        <v>0.63739999999999986</v>
      </c>
      <c r="G17" s="7">
        <v>0.34127660234403057</v>
      </c>
    </row>
    <row r="18" spans="1:7" x14ac:dyDescent="0.25">
      <c r="A18" s="1" t="s">
        <v>19</v>
      </c>
      <c r="B18" s="11">
        <v>52.062588904694181</v>
      </c>
      <c r="C18" s="1">
        <v>6.12</v>
      </c>
      <c r="D18" s="7">
        <v>0.33553333333333341</v>
      </c>
      <c r="E18" s="7">
        <v>0.82563333333333322</v>
      </c>
      <c r="F18" s="7">
        <v>0.66046666666666665</v>
      </c>
      <c r="G18" s="7">
        <v>0.35923005974297362</v>
      </c>
    </row>
    <row r="19" spans="1:7" x14ac:dyDescent="0.25">
      <c r="A19" s="1" t="s">
        <v>20</v>
      </c>
      <c r="B19" s="11">
        <v>51.209103840682786</v>
      </c>
      <c r="C19" s="1">
        <v>6.09</v>
      </c>
      <c r="D19" s="7">
        <v>0.33296666666666669</v>
      </c>
      <c r="E19" s="7">
        <v>0.83023333333333327</v>
      </c>
      <c r="F19" s="7">
        <v>0.68023333333333325</v>
      </c>
      <c r="G19" s="7">
        <v>0.37213793839733372</v>
      </c>
    </row>
    <row r="20" spans="1:7" x14ac:dyDescent="0.25">
      <c r="A20" s="1" t="s">
        <v>21</v>
      </c>
      <c r="B20" s="11">
        <v>51.705759518259498</v>
      </c>
      <c r="C20" s="1">
        <v>5.62</v>
      </c>
      <c r="D20" s="7">
        <v>0.31453333333333322</v>
      </c>
      <c r="E20" s="7">
        <v>0.82276666666666676</v>
      </c>
      <c r="F20" s="7">
        <v>0.60630000000000006</v>
      </c>
      <c r="G20" s="7">
        <v>0.23890982143653275</v>
      </c>
    </row>
    <row r="21" spans="1:7" x14ac:dyDescent="0.25">
      <c r="A21" s="1" t="s">
        <v>22</v>
      </c>
      <c r="B21" s="11">
        <v>58.055186170212764</v>
      </c>
      <c r="C21" s="1">
        <v>5.72</v>
      </c>
      <c r="D21" s="7">
        <v>0.29996666666666666</v>
      </c>
      <c r="E21" s="7">
        <v>0.83946666666666669</v>
      </c>
      <c r="F21" s="7">
        <v>0.67446666666666655</v>
      </c>
      <c r="G21" s="7">
        <v>0.29993450085307632</v>
      </c>
    </row>
    <row r="22" spans="1:7" x14ac:dyDescent="0.25">
      <c r="A22" s="1" t="s">
        <v>23</v>
      </c>
      <c r="B22" s="11">
        <v>63.739351946199292</v>
      </c>
      <c r="C22" s="1">
        <v>5.57</v>
      </c>
      <c r="D22" s="7">
        <v>0.26263333333333327</v>
      </c>
      <c r="E22" s="7">
        <v>0.85816666666666663</v>
      </c>
      <c r="F22" s="7">
        <v>0.6798333333333334</v>
      </c>
      <c r="G22" s="7">
        <v>0.29013154374422884</v>
      </c>
    </row>
    <row r="23" spans="1:7" x14ac:dyDescent="0.25">
      <c r="A23" s="1" t="s">
        <v>24</v>
      </c>
      <c r="B23" s="11">
        <v>58.165612420931588</v>
      </c>
      <c r="C23" s="1">
        <v>5.5</v>
      </c>
      <c r="D23" s="7">
        <v>0.27776666666666666</v>
      </c>
      <c r="E23" s="7">
        <v>0.85546666666666671</v>
      </c>
      <c r="F23" s="7">
        <v>0.70406666666666673</v>
      </c>
      <c r="G23" s="7">
        <v>0.30786527970662986</v>
      </c>
    </row>
    <row r="24" spans="1:7" x14ac:dyDescent="0.25">
      <c r="A24" s="1" t="s">
        <v>25</v>
      </c>
      <c r="B24" s="11">
        <v>61.78560751654922</v>
      </c>
      <c r="C24" s="1">
        <v>5.29</v>
      </c>
      <c r="D24" s="7">
        <v>0.29470000000000002</v>
      </c>
      <c r="E24" s="7">
        <v>0.84423333333333339</v>
      </c>
      <c r="F24" s="7">
        <v>0.65633333333333332</v>
      </c>
      <c r="G24" s="7">
        <v>0.31893559544056188</v>
      </c>
    </row>
    <row r="25" spans="1:7" x14ac:dyDescent="0.25">
      <c r="A25" s="1" t="s">
        <v>26</v>
      </c>
      <c r="B25" s="11">
        <v>66.120877962983229</v>
      </c>
      <c r="C25" s="1">
        <v>5.25</v>
      </c>
      <c r="D25" s="7">
        <v>0.32709999999999989</v>
      </c>
      <c r="E25" s="7">
        <v>0.83173333333333355</v>
      </c>
      <c r="F25" s="7">
        <v>0.67846666666666666</v>
      </c>
      <c r="G25" s="7">
        <v>0.42169388938954405</v>
      </c>
    </row>
    <row r="26" spans="1:7" x14ac:dyDescent="0.25">
      <c r="A26" s="1" t="s">
        <v>27</v>
      </c>
      <c r="B26" s="11">
        <v>56.315977175463615</v>
      </c>
      <c r="C26" s="1">
        <v>5.26</v>
      </c>
      <c r="D26" s="7">
        <v>0.28059999999999996</v>
      </c>
      <c r="E26" s="7">
        <v>0.86166666666666669</v>
      </c>
      <c r="F26" s="7">
        <v>0.67056666666666676</v>
      </c>
      <c r="G26" s="7">
        <v>0.27733403713440008</v>
      </c>
    </row>
    <row r="27" spans="1:7" x14ac:dyDescent="0.25">
      <c r="A27" s="1" t="s">
        <v>28</v>
      </c>
      <c r="B27" s="11">
        <v>53.835227272727273</v>
      </c>
      <c r="C27" s="1">
        <v>5.36</v>
      </c>
      <c r="D27" s="7">
        <v>0.30573333333333336</v>
      </c>
      <c r="E27" s="7">
        <v>0.84973333333333334</v>
      </c>
      <c r="F27" s="7">
        <v>0.68746666666666656</v>
      </c>
      <c r="G27" s="7">
        <v>0.34264854557998992</v>
      </c>
    </row>
    <row r="28" spans="1:7" x14ac:dyDescent="0.25">
      <c r="A28" s="1" t="s">
        <v>38</v>
      </c>
      <c r="B28" s="12">
        <v>48.39970901958241</v>
      </c>
      <c r="C28" s="1">
        <v>5.39</v>
      </c>
      <c r="D28" s="7">
        <v>0.32803333333333323</v>
      </c>
      <c r="E28" s="7">
        <v>0.83763333333333334</v>
      </c>
      <c r="F28" s="7">
        <v>0.66183333333333338</v>
      </c>
      <c r="G28" s="7">
        <v>0.299014854215918</v>
      </c>
    </row>
    <row r="29" spans="1:7" x14ac:dyDescent="0.25">
      <c r="A29" s="1" t="s">
        <v>29</v>
      </c>
      <c r="B29" s="11">
        <v>47.406104519591366</v>
      </c>
      <c r="C29" s="1">
        <v>5.56</v>
      </c>
      <c r="D29" s="7">
        <v>0.34543333333333343</v>
      </c>
      <c r="E29" s="7">
        <v>0.83276666666666677</v>
      </c>
      <c r="F29" s="7">
        <v>0.69356666666666678</v>
      </c>
      <c r="G29" s="7">
        <v>0.31675852944330291</v>
      </c>
    </row>
    <row r="30" spans="1:7" x14ac:dyDescent="0.25">
      <c r="A30" s="1" t="s">
        <v>39</v>
      </c>
      <c r="B30" s="12">
        <v>54.539007092198553</v>
      </c>
      <c r="C30" s="1">
        <v>6.15</v>
      </c>
      <c r="D30" s="7">
        <v>0.42770999240968993</v>
      </c>
      <c r="E30" s="7">
        <v>0.78083849773645786</v>
      </c>
      <c r="F30" s="7">
        <v>0.48726714678073613</v>
      </c>
      <c r="G30" s="7">
        <v>0.42023146843652776</v>
      </c>
    </row>
    <row r="31" spans="1:7" x14ac:dyDescent="0.25">
      <c r="A31" s="1" t="s">
        <v>30</v>
      </c>
      <c r="B31" s="11">
        <v>58.309675857268239</v>
      </c>
      <c r="C31" s="1">
        <v>6.27</v>
      </c>
      <c r="D31" s="7">
        <v>0.48180000000000001</v>
      </c>
      <c r="E31" s="7">
        <v>0.77870000000000006</v>
      </c>
      <c r="F31" s="7">
        <v>0.62953333333333328</v>
      </c>
      <c r="G31" s="7">
        <v>0.4533567113906945</v>
      </c>
    </row>
    <row r="32" spans="1:7" x14ac:dyDescent="0.25">
      <c r="A32" s="1" t="s">
        <v>31</v>
      </c>
      <c r="B32" s="11">
        <v>47.301136363636353</v>
      </c>
      <c r="C32" s="1">
        <v>6.02</v>
      </c>
      <c r="D32" s="7">
        <v>0.43093198311407965</v>
      </c>
      <c r="E32" s="7">
        <v>0.79260622416590021</v>
      </c>
      <c r="F32" s="7">
        <v>0.53506709345262682</v>
      </c>
      <c r="G32" s="7">
        <v>0.32122195484452515</v>
      </c>
    </row>
    <row r="33" spans="1:7" x14ac:dyDescent="0.25">
      <c r="A33" s="1" t="s">
        <v>32</v>
      </c>
      <c r="B33" s="11">
        <v>42.105263157894733</v>
      </c>
      <c r="C33" s="1">
        <v>5.96</v>
      </c>
      <c r="D33" s="7">
        <v>0.45429999999999993</v>
      </c>
      <c r="E33" s="7">
        <v>0.76729999999999998</v>
      </c>
      <c r="F33" s="7">
        <v>0.59460000000000013</v>
      </c>
      <c r="G33" s="7">
        <v>0.41293247337057265</v>
      </c>
    </row>
    <row r="34" spans="1:7" x14ac:dyDescent="0.25">
      <c r="A34" s="1" t="s">
        <v>40</v>
      </c>
      <c r="B34" s="12">
        <v>33.593213187872905</v>
      </c>
      <c r="C34" s="1">
        <v>5.65</v>
      </c>
      <c r="D34" s="7">
        <v>0.55604519612344971</v>
      </c>
      <c r="E34" s="7">
        <v>0.76723543888187529</v>
      </c>
      <c r="F34" s="7">
        <v>0.52991374519985979</v>
      </c>
      <c r="G34" s="7">
        <v>0.3027499737864674</v>
      </c>
    </row>
    <row r="35" spans="1:7" x14ac:dyDescent="0.25">
      <c r="A35" s="1" t="s">
        <v>33</v>
      </c>
      <c r="B35" s="11">
        <v>31.009413040663045</v>
      </c>
      <c r="C35" s="1">
        <v>5.68</v>
      </c>
      <c r="D35" s="7">
        <v>0.53433333333333333</v>
      </c>
      <c r="E35" s="7">
        <v>0.76729999999999976</v>
      </c>
      <c r="F35" s="7">
        <v>0.61963333333333326</v>
      </c>
      <c r="G35" s="7">
        <v>0.29783848408498037</v>
      </c>
    </row>
    <row r="36" spans="1:7" x14ac:dyDescent="0.25">
      <c r="A36" s="1" t="s">
        <v>34</v>
      </c>
      <c r="B36" s="11">
        <v>41.665838073226034</v>
      </c>
      <c r="C36" s="1">
        <v>5.98</v>
      </c>
      <c r="D36" s="7">
        <v>0.46478546003097082</v>
      </c>
      <c r="E36" s="7">
        <v>0.77788518330083889</v>
      </c>
      <c r="F36" s="7">
        <v>0.47093389586704487</v>
      </c>
      <c r="G36" s="7">
        <v>0.27528817468446137</v>
      </c>
    </row>
    <row r="37" spans="1:7" x14ac:dyDescent="0.25">
      <c r="A37" s="1" t="s">
        <v>35</v>
      </c>
      <c r="B37" s="11">
        <v>39.102744910237959</v>
      </c>
      <c r="C37" s="1">
        <v>5.88</v>
      </c>
      <c r="D37" s="7">
        <v>0.50583333333333336</v>
      </c>
      <c r="E37" s="7">
        <v>0.77149999999999996</v>
      </c>
      <c r="F37" s="7">
        <v>0.57143333333333324</v>
      </c>
      <c r="G37" s="7">
        <v>0.35793806844905257</v>
      </c>
    </row>
    <row r="38" spans="1:7" x14ac:dyDescent="0.25">
      <c r="A38" s="1" t="s">
        <v>36</v>
      </c>
      <c r="B38" s="11">
        <v>37.766714082503555</v>
      </c>
      <c r="C38" s="1">
        <v>5.69</v>
      </c>
      <c r="D38" s="7">
        <v>0.44783191722523008</v>
      </c>
      <c r="E38" s="7">
        <v>0.80955034464215936</v>
      </c>
      <c r="F38" s="7">
        <v>0.50265282747164397</v>
      </c>
      <c r="G38" s="7">
        <v>0.24945337704388923</v>
      </c>
    </row>
    <row r="39" spans="1:7" x14ac:dyDescent="0.25">
      <c r="A39" s="1" t="s">
        <v>37</v>
      </c>
      <c r="B39" s="11">
        <v>35.607542350963413</v>
      </c>
      <c r="C39" s="1">
        <v>5.97</v>
      </c>
      <c r="D39" s="7">
        <v>0.51450000000000007</v>
      </c>
      <c r="E39" s="7">
        <v>0.76746666666666685</v>
      </c>
      <c r="F39" s="7">
        <v>0.6235666666666666</v>
      </c>
      <c r="G39" s="7">
        <v>0.31902606048726423</v>
      </c>
    </row>
    <row r="40" spans="1:7" x14ac:dyDescent="0.25">
      <c r="A40" s="13"/>
      <c r="B4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FCC-EDFF-49D8-B6E4-A20279ABDB6A}">
  <dimension ref="A1:N115"/>
  <sheetViews>
    <sheetView workbookViewId="0">
      <selection activeCell="F109" sqref="F109"/>
    </sheetView>
  </sheetViews>
  <sheetFormatPr baseColWidth="10" defaultRowHeight="15" x14ac:dyDescent="0.25"/>
  <cols>
    <col min="12" max="12" width="17" customWidth="1"/>
  </cols>
  <sheetData>
    <row r="1" spans="1:14" ht="135" x14ac:dyDescent="0.25">
      <c r="A1" s="27" t="s">
        <v>41</v>
      </c>
      <c r="B1" s="27" t="s">
        <v>42</v>
      </c>
      <c r="C1" s="16" t="s">
        <v>69</v>
      </c>
      <c r="D1" s="16" t="s">
        <v>70</v>
      </c>
      <c r="E1" s="16" t="s">
        <v>71</v>
      </c>
      <c r="F1" s="16" t="s">
        <v>72</v>
      </c>
      <c r="G1" s="16" t="s">
        <v>74</v>
      </c>
      <c r="H1" s="16" t="s">
        <v>75</v>
      </c>
      <c r="I1" s="16" t="s">
        <v>76</v>
      </c>
      <c r="J1" s="16" t="s">
        <v>77</v>
      </c>
      <c r="L1" s="19" t="s">
        <v>0</v>
      </c>
      <c r="M1" s="2" t="s">
        <v>73</v>
      </c>
      <c r="N1" s="18" t="s">
        <v>1</v>
      </c>
    </row>
    <row r="2" spans="1:14" ht="15" customHeight="1" x14ac:dyDescent="0.25">
      <c r="A2" s="6" t="s">
        <v>3</v>
      </c>
      <c r="B2" s="3" t="s">
        <v>43</v>
      </c>
      <c r="C2" s="26">
        <v>0.29871485794575259</v>
      </c>
      <c r="D2" s="5">
        <v>0.82825038014870178</v>
      </c>
      <c r="E2" s="5">
        <v>0.5630417476596391</v>
      </c>
      <c r="F2" s="5">
        <v>0.26240951367234577</v>
      </c>
      <c r="G2" s="28">
        <f>AVERAGE(C2:C4)</f>
        <v>0.30517927406891304</v>
      </c>
      <c r="H2" s="28">
        <f>AVERAGE(D2:D4)</f>
        <v>0.81972315191237966</v>
      </c>
      <c r="I2" s="28">
        <f t="shared" ref="H2:J2" si="0">AVERAGE(E2:E4)</f>
        <v>0.57767219273110737</v>
      </c>
      <c r="J2" s="28">
        <f>AVERAGE(F2:F4)</f>
        <v>0.26858795110676609</v>
      </c>
      <c r="L2" s="20" t="s">
        <v>3</v>
      </c>
      <c r="M2" s="26">
        <v>49.875311720698257</v>
      </c>
      <c r="N2" s="23">
        <f>AVERAGE(M2:M3)</f>
        <v>49.501246882793012</v>
      </c>
    </row>
    <row r="3" spans="1:14" ht="15.75" x14ac:dyDescent="0.25">
      <c r="A3" s="6"/>
      <c r="B3" s="3">
        <v>597</v>
      </c>
      <c r="C3" s="26">
        <v>0.30419791424097831</v>
      </c>
      <c r="D3" s="5">
        <v>0.80821115174737712</v>
      </c>
      <c r="E3" s="5">
        <v>0.59720850512483736</v>
      </c>
      <c r="F3" s="5">
        <v>0.2677117482265256</v>
      </c>
      <c r="G3" s="28"/>
      <c r="H3" s="28"/>
      <c r="I3" s="28"/>
      <c r="J3" s="28"/>
      <c r="L3" s="20"/>
      <c r="M3" s="26">
        <v>49.127182044887761</v>
      </c>
      <c r="N3" s="24"/>
    </row>
    <row r="4" spans="1:14" ht="15.75" x14ac:dyDescent="0.25">
      <c r="A4" s="6"/>
      <c r="B4" s="4">
        <v>1359</v>
      </c>
      <c r="C4" s="26">
        <v>0.31262505002000818</v>
      </c>
      <c r="D4" s="5">
        <v>0.82270792384106006</v>
      </c>
      <c r="E4" s="5">
        <v>0.57276632540884576</v>
      </c>
      <c r="F4" s="5">
        <v>0.27564259142142689</v>
      </c>
      <c r="G4" s="28"/>
      <c r="H4" s="28"/>
      <c r="I4" s="28"/>
      <c r="J4" s="28"/>
      <c r="L4" s="20" t="s">
        <v>4</v>
      </c>
      <c r="M4" s="26">
        <v>45.817727840199709</v>
      </c>
      <c r="N4" s="23">
        <f t="shared" ref="N4" si="1">AVERAGE(M4:M5)</f>
        <v>45.755305867665385</v>
      </c>
    </row>
    <row r="5" spans="1:14" ht="15.75" x14ac:dyDescent="0.25">
      <c r="A5" s="6" t="s">
        <v>4</v>
      </c>
      <c r="B5" s="4" t="s">
        <v>44</v>
      </c>
      <c r="C5" s="26">
        <v>0.32782426990110064</v>
      </c>
      <c r="D5" s="5">
        <v>0.79577285459638414</v>
      </c>
      <c r="E5" s="5">
        <v>0.66824515353927139</v>
      </c>
      <c r="F5" s="5">
        <v>0.28641488843990903</v>
      </c>
      <c r="G5" s="28">
        <f t="shared" ref="G5:H5" si="2">AVERAGE(C5:C7)</f>
        <v>0.32858390801839193</v>
      </c>
      <c r="H5" s="28">
        <f t="shared" si="2"/>
        <v>0.81037735428760149</v>
      </c>
      <c r="I5" s="28">
        <f t="shared" ref="I5:J5" si="3">AVERAGE(E5:E7)</f>
        <v>0.65686487612981803</v>
      </c>
      <c r="J5" s="28">
        <f t="shared" si="3"/>
        <v>0.28616890543745283</v>
      </c>
      <c r="L5" s="20"/>
      <c r="M5" s="26">
        <v>45.692883895131061</v>
      </c>
      <c r="N5" s="24"/>
    </row>
    <row r="6" spans="1:14" ht="15.75" x14ac:dyDescent="0.25">
      <c r="A6" s="6"/>
      <c r="B6" s="4">
        <v>208</v>
      </c>
      <c r="C6" s="26">
        <v>0.34134258708234666</v>
      </c>
      <c r="D6" s="5">
        <v>0.83597740648365793</v>
      </c>
      <c r="E6" s="5">
        <v>0.68852770756703086</v>
      </c>
      <c r="F6" s="5">
        <v>0.29719903446718593</v>
      </c>
      <c r="G6" s="28"/>
      <c r="H6" s="28"/>
      <c r="I6" s="28"/>
      <c r="J6" s="28"/>
      <c r="L6" s="20" t="s">
        <v>5</v>
      </c>
      <c r="M6" s="26">
        <v>49.192546583850941</v>
      </c>
      <c r="N6" s="23">
        <f t="shared" ref="N6" si="4">AVERAGE(M6:M7)</f>
        <v>49.378340539746134</v>
      </c>
    </row>
    <row r="7" spans="1:14" ht="15.75" x14ac:dyDescent="0.25">
      <c r="A7" s="6"/>
      <c r="B7" s="4">
        <v>1293</v>
      </c>
      <c r="C7" s="26">
        <v>0.3165848670717285</v>
      </c>
      <c r="D7" s="5">
        <v>0.79938180178276241</v>
      </c>
      <c r="E7" s="5">
        <v>0.61382176728315208</v>
      </c>
      <c r="F7" s="5">
        <v>0.27489279340526351</v>
      </c>
      <c r="G7" s="28"/>
      <c r="H7" s="28"/>
      <c r="I7" s="28"/>
      <c r="J7" s="28"/>
      <c r="L7" s="20"/>
      <c r="M7" s="26">
        <v>49.564134495641333</v>
      </c>
      <c r="N7" s="24"/>
    </row>
    <row r="8" spans="1:14" ht="15.75" x14ac:dyDescent="0.25">
      <c r="A8" s="6" t="s">
        <v>5</v>
      </c>
      <c r="B8" s="4">
        <v>443</v>
      </c>
      <c r="C8" s="26">
        <v>0.34055037916338532</v>
      </c>
      <c r="D8" s="5">
        <v>0.83350175673690463</v>
      </c>
      <c r="E8" s="5">
        <v>0.52186696661559817</v>
      </c>
      <c r="F8" s="5">
        <v>0.30772624623197464</v>
      </c>
      <c r="G8" s="28">
        <f t="shared" ref="G8:H8" si="5">AVERAGE(C8:C10)</f>
        <v>0.38233953876484655</v>
      </c>
      <c r="H8" s="28">
        <f t="shared" si="5"/>
        <v>0.81767517852772176</v>
      </c>
      <c r="I8" s="28">
        <f t="shared" ref="I8:J8" si="6">AVERAGE(E8:E10)</f>
        <v>0.56089055220882766</v>
      </c>
      <c r="J8" s="28">
        <f t="shared" si="6"/>
        <v>0.34984308156509275</v>
      </c>
      <c r="L8" s="20" t="s">
        <v>6</v>
      </c>
      <c r="M8" s="26">
        <v>47.066167290886369</v>
      </c>
      <c r="N8" s="23">
        <f t="shared" ref="N8" si="7">AVERAGE(M8:M9)</f>
        <v>47.752808988764045</v>
      </c>
    </row>
    <row r="9" spans="1:14" x14ac:dyDescent="0.25">
      <c r="A9" s="6"/>
      <c r="B9" s="2" t="s">
        <v>45</v>
      </c>
      <c r="C9" s="26">
        <v>0.42796862299978761</v>
      </c>
      <c r="D9" s="5">
        <v>0.80558213075845397</v>
      </c>
      <c r="E9" s="5">
        <v>0.54712577688719355</v>
      </c>
      <c r="F9" s="5">
        <v>0.38724927828718647</v>
      </c>
      <c r="G9" s="28"/>
      <c r="H9" s="28"/>
      <c r="I9" s="28"/>
      <c r="J9" s="28"/>
      <c r="L9" s="20"/>
      <c r="M9" s="26">
        <v>48.439450686641713</v>
      </c>
      <c r="N9" s="24"/>
    </row>
    <row r="10" spans="1:14" x14ac:dyDescent="0.25">
      <c r="A10" s="6"/>
      <c r="B10" s="2" t="s">
        <v>46</v>
      </c>
      <c r="C10" s="26">
        <v>0.37849961413136679</v>
      </c>
      <c r="D10" s="5">
        <v>0.81394164808780667</v>
      </c>
      <c r="E10" s="5">
        <v>0.61367891312369116</v>
      </c>
      <c r="F10" s="5">
        <v>0.35455372017611703</v>
      </c>
      <c r="G10" s="28"/>
      <c r="H10" s="28"/>
      <c r="I10" s="28"/>
      <c r="J10" s="28"/>
      <c r="L10" s="20" t="s">
        <v>7</v>
      </c>
      <c r="M10" s="26">
        <v>47.646219686162603</v>
      </c>
      <c r="N10" s="23">
        <f t="shared" ref="N10" si="8">AVERAGE(M10:M11)</f>
        <v>47.652897077123839</v>
      </c>
    </row>
    <row r="11" spans="1:14" x14ac:dyDescent="0.25">
      <c r="A11" s="6" t="s">
        <v>6</v>
      </c>
      <c r="B11" s="2" t="s">
        <v>47</v>
      </c>
      <c r="C11" s="26">
        <v>0.41362544697211923</v>
      </c>
      <c r="D11" s="5">
        <v>0.81572231265441875</v>
      </c>
      <c r="E11" s="5">
        <v>0.66284329989812163</v>
      </c>
      <c r="F11" s="5">
        <v>0.44060101960073583</v>
      </c>
      <c r="G11" s="28">
        <f t="shared" ref="G11:H11" si="9">AVERAGE(C11:C13)</f>
        <v>0.40689575480456625</v>
      </c>
      <c r="H11" s="28">
        <f t="shared" si="9"/>
        <v>0.8077370687387595</v>
      </c>
      <c r="I11" s="28">
        <f t="shared" ref="I11:J11" si="10">AVERAGE(E11:E13)</f>
        <v>0.66339588937245886</v>
      </c>
      <c r="J11" s="28">
        <f t="shared" si="10"/>
        <v>0.41457927771097863</v>
      </c>
      <c r="L11" s="20"/>
      <c r="M11" s="26">
        <v>47.659574468085083</v>
      </c>
      <c r="N11" s="24"/>
    </row>
    <row r="12" spans="1:14" x14ac:dyDescent="0.25">
      <c r="A12" s="6"/>
      <c r="B12" s="2">
        <v>215</v>
      </c>
      <c r="C12" s="26">
        <v>0.41452279359637451</v>
      </c>
      <c r="D12" s="5">
        <v>0.79864460830261785</v>
      </c>
      <c r="E12" s="5">
        <v>0.67090108137014726</v>
      </c>
      <c r="F12" s="5">
        <v>0.41371317876513147</v>
      </c>
      <c r="G12" s="28"/>
      <c r="H12" s="28"/>
      <c r="I12" s="28"/>
      <c r="J12" s="28"/>
      <c r="L12" s="20" t="s">
        <v>8</v>
      </c>
      <c r="M12" s="26">
        <v>46.51493598862023</v>
      </c>
      <c r="N12" s="23">
        <f t="shared" ref="N12" si="11">AVERAGE(M12:M13)</f>
        <v>47.012802275960205</v>
      </c>
    </row>
    <row r="13" spans="1:14" x14ac:dyDescent="0.25">
      <c r="A13" s="6"/>
      <c r="B13" s="2" t="s">
        <v>48</v>
      </c>
      <c r="C13" s="26">
        <v>0.392539023845205</v>
      </c>
      <c r="D13" s="5">
        <v>0.8088442852592419</v>
      </c>
      <c r="E13" s="5">
        <v>0.6564432868491078</v>
      </c>
      <c r="F13" s="5">
        <v>0.38942363476706848</v>
      </c>
      <c r="G13" s="28"/>
      <c r="H13" s="28"/>
      <c r="I13" s="28"/>
      <c r="J13" s="28"/>
      <c r="L13" s="20"/>
      <c r="M13" s="26">
        <v>47.510668563300179</v>
      </c>
      <c r="N13" s="24"/>
    </row>
    <row r="14" spans="1:14" x14ac:dyDescent="0.25">
      <c r="A14" s="6" t="s">
        <v>7</v>
      </c>
      <c r="B14" s="2" t="s">
        <v>49</v>
      </c>
      <c r="C14" s="26">
        <v>0.40902558159460933</v>
      </c>
      <c r="D14" s="5">
        <v>0.71748646178418107</v>
      </c>
      <c r="E14" s="5">
        <v>0.40923379008613109</v>
      </c>
      <c r="F14" s="5">
        <v>0.28002520586092472</v>
      </c>
      <c r="G14" s="28">
        <f>AVERAGE(C14:C16)</f>
        <v>0.46244015037494496</v>
      </c>
      <c r="H14" s="28">
        <f>AVERAGE(D14:D16)</f>
        <v>0.73612184276233117</v>
      </c>
      <c r="I14" s="28">
        <f t="shared" ref="I14" si="12">AVERAGE(E14:E16)</f>
        <v>0.45926329380090297</v>
      </c>
      <c r="J14" s="28">
        <f>AVERAGE(F14:F16)</f>
        <v>0.31167861431007227</v>
      </c>
      <c r="L14" s="20" t="s">
        <v>9</v>
      </c>
      <c r="M14" s="26">
        <v>55.665722379603409</v>
      </c>
      <c r="N14" s="23">
        <f t="shared" ref="N14" si="13">AVERAGE(M14:M15)</f>
        <v>55.665722379603409</v>
      </c>
    </row>
    <row r="15" spans="1:14" x14ac:dyDescent="0.25">
      <c r="A15" s="6"/>
      <c r="B15" s="2">
        <v>347</v>
      </c>
      <c r="C15" s="26">
        <v>0.55357239897722765</v>
      </c>
      <c r="D15" s="5">
        <v>0.72620037272564952</v>
      </c>
      <c r="E15" s="5">
        <v>0.50204465303838375</v>
      </c>
      <c r="F15" s="5">
        <v>0.37030012577445465</v>
      </c>
      <c r="G15" s="28"/>
      <c r="H15" s="28"/>
      <c r="I15" s="28"/>
      <c r="J15" s="28"/>
      <c r="L15" s="20"/>
      <c r="M15" s="26">
        <v>55.665722379603409</v>
      </c>
      <c r="N15" s="24"/>
    </row>
    <row r="16" spans="1:14" x14ac:dyDescent="0.25">
      <c r="A16" s="6"/>
      <c r="B16" s="2">
        <v>1166</v>
      </c>
      <c r="C16" s="26">
        <v>0.424722470552998</v>
      </c>
      <c r="D16" s="5">
        <v>0.76467869377716258</v>
      </c>
      <c r="E16" s="5">
        <v>0.46651143827819402</v>
      </c>
      <c r="F16" s="5">
        <v>0.28471051129483738</v>
      </c>
      <c r="G16" s="28"/>
      <c r="H16" s="28"/>
      <c r="I16" s="28"/>
      <c r="J16" s="28"/>
      <c r="L16" s="20" t="s">
        <v>10</v>
      </c>
      <c r="M16" s="26">
        <v>53.191489361702118</v>
      </c>
      <c r="N16" s="23">
        <f t="shared" ref="N16" si="14">AVERAGE(M16:M17)</f>
        <v>53.551647952543789</v>
      </c>
    </row>
    <row r="17" spans="1:14" x14ac:dyDescent="0.25">
      <c r="A17" s="6" t="s">
        <v>8</v>
      </c>
      <c r="B17" s="2" t="s">
        <v>50</v>
      </c>
      <c r="C17" s="26">
        <v>0.5611010638021442</v>
      </c>
      <c r="D17" s="5">
        <v>0.7602472807304741</v>
      </c>
      <c r="E17" s="5">
        <v>0.55602598182130003</v>
      </c>
      <c r="F17" s="5">
        <v>0.50437046651409179</v>
      </c>
      <c r="G17" s="28">
        <f t="shared" ref="G17" si="15">AVERAGE(C17:C19)</f>
        <v>0.53295127574839452</v>
      </c>
      <c r="H17" s="28">
        <f t="shared" ref="H17" si="16">AVERAGE(D17:D19)</f>
        <v>0.77188613540654361</v>
      </c>
      <c r="I17" s="28">
        <f t="shared" ref="I17" si="17">AVERAGE(E17:E19)</f>
        <v>0.60833316010386851</v>
      </c>
      <c r="J17" s="28">
        <f t="shared" ref="J17" si="18">AVERAGE(F17:F19)</f>
        <v>0.48312371122897302</v>
      </c>
      <c r="L17" s="20"/>
      <c r="M17" s="26">
        <v>53.911806543385467</v>
      </c>
      <c r="N17" s="24"/>
    </row>
    <row r="18" spans="1:14" x14ac:dyDescent="0.25">
      <c r="A18" s="6"/>
      <c r="B18" s="2">
        <v>1169</v>
      </c>
      <c r="C18" s="26">
        <v>0.58089388352743687</v>
      </c>
      <c r="D18" s="5">
        <v>0.73984545116748013</v>
      </c>
      <c r="E18" s="5">
        <v>0.58952152289487236</v>
      </c>
      <c r="F18" s="5">
        <v>0.52640467502235067</v>
      </c>
      <c r="G18" s="28"/>
      <c r="H18" s="28"/>
      <c r="I18" s="28"/>
      <c r="J18" s="28"/>
      <c r="L18" s="20" t="s">
        <v>11</v>
      </c>
      <c r="M18" s="26">
        <v>50.496453900709191</v>
      </c>
      <c r="N18" s="23">
        <f t="shared" ref="N18" si="19">AVERAGE(M18:M19)</f>
        <v>50.743977658569911</v>
      </c>
    </row>
    <row r="19" spans="1:14" x14ac:dyDescent="0.25">
      <c r="A19" s="6"/>
      <c r="B19" s="2" t="s">
        <v>51</v>
      </c>
      <c r="C19" s="26">
        <v>0.4568588799156027</v>
      </c>
      <c r="D19" s="5">
        <v>0.8155656743216767</v>
      </c>
      <c r="E19" s="5">
        <v>0.67945197559543302</v>
      </c>
      <c r="F19" s="5">
        <v>0.41859599215047683</v>
      </c>
      <c r="G19" s="28"/>
      <c r="H19" s="28"/>
      <c r="I19" s="28"/>
      <c r="J19" s="28"/>
      <c r="L19" s="20"/>
      <c r="M19" s="26">
        <v>50.99150141643063</v>
      </c>
      <c r="N19" s="24"/>
    </row>
    <row r="20" spans="1:14" x14ac:dyDescent="0.25">
      <c r="A20" s="6" t="s">
        <v>9</v>
      </c>
      <c r="B20" s="2">
        <v>75</v>
      </c>
      <c r="C20" s="26">
        <v>0.32159999999999994</v>
      </c>
      <c r="D20" s="5">
        <v>0.80849999999999989</v>
      </c>
      <c r="E20" s="5">
        <v>0.5615</v>
      </c>
      <c r="F20" s="5">
        <v>0.31406249999999997</v>
      </c>
      <c r="G20" s="28">
        <f t="shared" ref="G20" si="20">AVERAGE(C20:C22)</f>
        <v>0.31890000000000002</v>
      </c>
      <c r="H20" s="28">
        <f t="shared" ref="H20" si="21">AVERAGE(D20:D22)</f>
        <v>0.8080666666666666</v>
      </c>
      <c r="I20" s="28">
        <f t="shared" ref="I20" si="22">AVERAGE(E20:E22)</f>
        <v>0.57556666666666667</v>
      </c>
      <c r="J20" s="28">
        <f t="shared" ref="J20" si="23">AVERAGE(F20:F22)</f>
        <v>0.3062381112946142</v>
      </c>
      <c r="L20" s="20" t="s">
        <v>12</v>
      </c>
      <c r="M20" s="26">
        <v>46.317280453257794</v>
      </c>
      <c r="N20" s="23">
        <f t="shared" ref="N20" si="24">AVERAGE(M20:M21)</f>
        <v>46.388101983002841</v>
      </c>
    </row>
    <row r="21" spans="1:14" x14ac:dyDescent="0.25">
      <c r="A21" s="6"/>
      <c r="B21" s="2">
        <v>136</v>
      </c>
      <c r="C21" s="26">
        <v>0.32140000000000002</v>
      </c>
      <c r="D21" s="5">
        <v>0.81780000000000008</v>
      </c>
      <c r="E21" s="5">
        <v>0.59260000000000013</v>
      </c>
      <c r="F21" s="5">
        <v>0.31149171483622362</v>
      </c>
      <c r="G21" s="28"/>
      <c r="H21" s="28"/>
      <c r="I21" s="28"/>
      <c r="J21" s="28"/>
      <c r="L21" s="20"/>
      <c r="M21" s="26">
        <v>46.45892351274788</v>
      </c>
      <c r="N21" s="24"/>
    </row>
    <row r="22" spans="1:14" x14ac:dyDescent="0.25">
      <c r="A22" s="6"/>
      <c r="B22" s="2" t="s">
        <v>52</v>
      </c>
      <c r="C22" s="26">
        <v>0.31370000000000003</v>
      </c>
      <c r="D22" s="5">
        <v>0.79789999999999994</v>
      </c>
      <c r="E22" s="5">
        <v>0.57259999999999989</v>
      </c>
      <c r="F22" s="5">
        <v>0.29316011904761896</v>
      </c>
      <c r="G22" s="28"/>
      <c r="H22" s="28"/>
      <c r="I22" s="28"/>
      <c r="J22" s="28"/>
      <c r="L22" s="20" t="s">
        <v>13</v>
      </c>
      <c r="M22" s="26">
        <v>50.284900284900303</v>
      </c>
      <c r="N22" s="23">
        <f t="shared" ref="N22" si="25">AVERAGE(M22:M23)</f>
        <v>50.320259530785862</v>
      </c>
    </row>
    <row r="23" spans="1:14" x14ac:dyDescent="0.25">
      <c r="A23" s="6" t="s">
        <v>10</v>
      </c>
      <c r="B23" s="2">
        <v>144</v>
      </c>
      <c r="C23" s="26">
        <v>0.37590000000000001</v>
      </c>
      <c r="D23" s="5">
        <v>0.82210000000000005</v>
      </c>
      <c r="E23" s="5">
        <v>0.68580000000000008</v>
      </c>
      <c r="F23" s="5">
        <v>0.39728599562363248</v>
      </c>
      <c r="G23" s="28">
        <f>AVERAGE(C23:C25)</f>
        <v>0.36100000000000004</v>
      </c>
      <c r="H23" s="28">
        <f>AVERAGE(D23:D25)</f>
        <v>0.82766666666666666</v>
      </c>
      <c r="I23" s="28">
        <f t="shared" ref="I23" si="26">AVERAGE(E23:E25)</f>
        <v>0.67656666666666665</v>
      </c>
      <c r="J23" s="28">
        <f>AVERAGE(F23:F25)</f>
        <v>0.38463396699056007</v>
      </c>
      <c r="L23" s="20"/>
      <c r="M23" s="26">
        <v>50.355618776671427</v>
      </c>
      <c r="N23" s="24"/>
    </row>
    <row r="24" spans="1:14" x14ac:dyDescent="0.25">
      <c r="A24" s="6"/>
      <c r="B24" s="2" t="s">
        <v>53</v>
      </c>
      <c r="C24" s="26">
        <v>0.3585000000000001</v>
      </c>
      <c r="D24" s="5">
        <v>0.8304999999999999</v>
      </c>
      <c r="E24" s="5">
        <v>0.66829999999999989</v>
      </c>
      <c r="F24" s="5">
        <v>0.38379737903225802</v>
      </c>
      <c r="G24" s="28"/>
      <c r="H24" s="28"/>
      <c r="I24" s="28"/>
      <c r="J24" s="28"/>
      <c r="L24" s="20" t="s">
        <v>14</v>
      </c>
      <c r="M24" s="26">
        <v>52.564102564102534</v>
      </c>
      <c r="N24" s="23">
        <f t="shared" ref="N24" si="27">AVERAGE(M24:M25)</f>
        <v>52.173634734262379</v>
      </c>
    </row>
    <row r="25" spans="1:14" x14ac:dyDescent="0.25">
      <c r="A25" s="6"/>
      <c r="B25" s="2" t="s">
        <v>54</v>
      </c>
      <c r="C25" s="26">
        <v>0.34860000000000002</v>
      </c>
      <c r="D25" s="5">
        <v>0.83039999999999992</v>
      </c>
      <c r="E25" s="5">
        <v>0.67560000000000009</v>
      </c>
      <c r="F25" s="5">
        <v>0.3728185263157896</v>
      </c>
      <c r="G25" s="28"/>
      <c r="H25" s="28"/>
      <c r="I25" s="28"/>
      <c r="J25" s="28"/>
      <c r="L25" s="20"/>
      <c r="M25" s="26">
        <v>51.783166904422217</v>
      </c>
      <c r="N25" s="24"/>
    </row>
    <row r="26" spans="1:14" x14ac:dyDescent="0.25">
      <c r="A26" s="6" t="s">
        <v>11</v>
      </c>
      <c r="B26" s="2" t="s">
        <v>55</v>
      </c>
      <c r="C26" s="26">
        <v>0.35070000000000007</v>
      </c>
      <c r="D26" s="5">
        <v>0.80939999999999968</v>
      </c>
      <c r="E26" s="5">
        <v>0.51159999999999994</v>
      </c>
      <c r="F26" s="5">
        <v>0.35070000000000007</v>
      </c>
      <c r="G26" s="28">
        <f t="shared" ref="G26" si="28">AVERAGE(C26:C28)</f>
        <v>0.33690000000000003</v>
      </c>
      <c r="H26" s="28">
        <f t="shared" ref="H26" si="29">AVERAGE(D26:D28)</f>
        <v>0.80923333333333325</v>
      </c>
      <c r="I26" s="28">
        <f t="shared" ref="I26" si="30">AVERAGE(E26:E28)</f>
        <v>0.52840000000000009</v>
      </c>
      <c r="J26" s="28">
        <f t="shared" ref="J26" si="31">AVERAGE(F26:F28)</f>
        <v>0.33559220456005129</v>
      </c>
      <c r="L26" s="20" t="s">
        <v>15</v>
      </c>
      <c r="M26" s="26">
        <v>52.714285714285701</v>
      </c>
      <c r="N26" s="23">
        <f t="shared" ref="N26" si="32">AVERAGE(M26:M27)</f>
        <v>53.675259832891783</v>
      </c>
    </row>
    <row r="27" spans="1:14" x14ac:dyDescent="0.25">
      <c r="A27" s="6"/>
      <c r="B27" s="2" t="s">
        <v>56</v>
      </c>
      <c r="C27" s="26">
        <v>0.3146000000000001</v>
      </c>
      <c r="D27" s="5">
        <v>0.8214999999999999</v>
      </c>
      <c r="E27" s="5">
        <v>0.54970000000000008</v>
      </c>
      <c r="F27" s="5">
        <v>0.3140041666666667</v>
      </c>
      <c r="G27" s="28"/>
      <c r="H27" s="28"/>
      <c r="I27" s="28"/>
      <c r="J27" s="28"/>
      <c r="L27" s="20"/>
      <c r="M27" s="26">
        <v>54.636233951497857</v>
      </c>
      <c r="N27" s="24"/>
    </row>
    <row r="28" spans="1:14" ht="15" customHeight="1" x14ac:dyDescent="0.25">
      <c r="A28" s="6"/>
      <c r="B28" s="2">
        <v>101</v>
      </c>
      <c r="C28" s="26">
        <v>0.34539999999999993</v>
      </c>
      <c r="D28" s="5">
        <v>0.79680000000000006</v>
      </c>
      <c r="E28" s="5">
        <v>0.52390000000000014</v>
      </c>
      <c r="F28" s="5">
        <v>0.34207244701348721</v>
      </c>
      <c r="G28" s="28"/>
      <c r="H28" s="28"/>
      <c r="I28" s="28"/>
      <c r="J28" s="28"/>
      <c r="L28" s="21" t="s">
        <v>16</v>
      </c>
      <c r="M28" s="26">
        <v>49.928876244665723</v>
      </c>
      <c r="N28" s="23">
        <f>AVERAGE(M28:M29)</f>
        <v>51.85459504102046</v>
      </c>
    </row>
    <row r="29" spans="1:14" ht="15" customHeight="1" x14ac:dyDescent="0.25">
      <c r="A29" s="6" t="s">
        <v>12</v>
      </c>
      <c r="B29" s="2">
        <v>116</v>
      </c>
      <c r="C29" s="26">
        <v>0.36590000000000006</v>
      </c>
      <c r="D29" s="5">
        <v>0.81419999999999981</v>
      </c>
      <c r="E29" s="5">
        <v>0.62150000000000016</v>
      </c>
      <c r="F29" s="5">
        <v>0.37960411985018722</v>
      </c>
      <c r="G29" s="28">
        <f>AVERAGE(C29:C31)</f>
        <v>0.36516666666666664</v>
      </c>
      <c r="H29" s="28">
        <f>AVERAGE(D29:D31)</f>
        <v>0.81179999999999997</v>
      </c>
      <c r="I29" s="28">
        <f t="shared" ref="I29" si="33">AVERAGE(E29:E31)</f>
        <v>0.62173333333333336</v>
      </c>
      <c r="J29" s="28">
        <f>AVERAGE(F29:F31)</f>
        <v>0.37905603484150546</v>
      </c>
      <c r="L29" s="22"/>
      <c r="M29" s="26">
        <v>53.780313837375203</v>
      </c>
      <c r="N29" s="25"/>
    </row>
    <row r="30" spans="1:14" ht="15" customHeight="1" x14ac:dyDescent="0.25">
      <c r="A30" s="6"/>
      <c r="B30" s="2">
        <v>119</v>
      </c>
      <c r="C30" s="26">
        <v>0.36609999999999998</v>
      </c>
      <c r="D30" s="5">
        <v>0.80810000000000004</v>
      </c>
      <c r="E30" s="5">
        <v>0.61909999999999987</v>
      </c>
      <c r="F30" s="5">
        <v>0.38152950191570867</v>
      </c>
      <c r="G30" s="28"/>
      <c r="H30" s="28"/>
      <c r="I30" s="28"/>
      <c r="J30" s="28"/>
      <c r="L30" s="20" t="s">
        <v>17</v>
      </c>
      <c r="M30" s="26">
        <v>28.632478632478609</v>
      </c>
      <c r="N30" s="23">
        <f t="shared" ref="N30" si="34">AVERAGE(M30:M31)</f>
        <v>28.846153846153832</v>
      </c>
    </row>
    <row r="31" spans="1:14" x14ac:dyDescent="0.25">
      <c r="A31" s="6"/>
      <c r="B31" s="2">
        <v>122</v>
      </c>
      <c r="C31" s="26">
        <v>0.36349999999999982</v>
      </c>
      <c r="D31" s="5">
        <v>0.81310000000000027</v>
      </c>
      <c r="E31" s="5">
        <v>0.62460000000000004</v>
      </c>
      <c r="F31" s="5">
        <v>0.37603448275862045</v>
      </c>
      <c r="G31" s="28"/>
      <c r="H31" s="28"/>
      <c r="I31" s="28"/>
      <c r="J31" s="28"/>
      <c r="L31" s="20"/>
      <c r="M31" s="26">
        <v>29.059829059829053</v>
      </c>
      <c r="N31" s="24"/>
    </row>
    <row r="32" spans="1:14" x14ac:dyDescent="0.25">
      <c r="A32" s="6" t="s">
        <v>13</v>
      </c>
      <c r="B32" s="2" t="s">
        <v>57</v>
      </c>
      <c r="C32" s="26">
        <v>0.38050000000000012</v>
      </c>
      <c r="D32" s="5">
        <v>0.80249999999999988</v>
      </c>
      <c r="E32" s="5">
        <v>0.66489999999999982</v>
      </c>
      <c r="F32" s="5">
        <v>0.33822222222222237</v>
      </c>
      <c r="G32" s="28">
        <f t="shared" ref="G32" si="35">AVERAGE(C32:C34)</f>
        <v>0.37690000000000001</v>
      </c>
      <c r="H32" s="28">
        <f t="shared" ref="H32" si="36">AVERAGE(D32:D34)</f>
        <v>0.81396666666666662</v>
      </c>
      <c r="I32" s="28">
        <f t="shared" ref="I32" si="37">AVERAGE(E32:E34)</f>
        <v>0.66506666666666658</v>
      </c>
      <c r="J32" s="28">
        <f t="shared" ref="J32" si="38">AVERAGE(F32:F34)</f>
        <v>0.33429578108639385</v>
      </c>
      <c r="L32" s="20" t="s">
        <v>18</v>
      </c>
      <c r="M32" s="26">
        <v>27.453769559032747</v>
      </c>
      <c r="N32" s="23">
        <f t="shared" ref="N32" si="39">AVERAGE(M32:M33)</f>
        <v>27.524893314367013</v>
      </c>
    </row>
    <row r="33" spans="1:14" x14ac:dyDescent="0.25">
      <c r="A33" s="6"/>
      <c r="B33" s="2" t="s">
        <v>58</v>
      </c>
      <c r="C33" s="26">
        <v>0.3819999999999999</v>
      </c>
      <c r="D33" s="5">
        <v>0.81719999999999993</v>
      </c>
      <c r="E33" s="5">
        <v>0.67099999999999993</v>
      </c>
      <c r="F33" s="5">
        <v>0.3393102119460501</v>
      </c>
      <c r="G33" s="28"/>
      <c r="H33" s="28"/>
      <c r="I33" s="28"/>
      <c r="J33" s="28"/>
      <c r="L33" s="20"/>
      <c r="M33" s="26">
        <v>27.596017069701283</v>
      </c>
      <c r="N33" s="24"/>
    </row>
    <row r="34" spans="1:14" x14ac:dyDescent="0.25">
      <c r="A34" s="6"/>
      <c r="B34" s="2" t="s">
        <v>59</v>
      </c>
      <c r="C34" s="26">
        <v>0.36820000000000008</v>
      </c>
      <c r="D34" s="5">
        <v>0.82219999999999993</v>
      </c>
      <c r="E34" s="5">
        <v>0.65930000000000011</v>
      </c>
      <c r="F34" s="5">
        <v>0.32535490909090914</v>
      </c>
      <c r="G34" s="28"/>
      <c r="H34" s="28"/>
      <c r="I34" s="28"/>
      <c r="J34" s="28"/>
      <c r="L34" s="20" t="s">
        <v>19</v>
      </c>
      <c r="M34" s="26">
        <v>52.347083926031324</v>
      </c>
      <c r="N34" s="23">
        <f t="shared" ref="N34" si="40">AVERAGE(M34:M35)</f>
        <v>52.062588904694181</v>
      </c>
    </row>
    <row r="35" spans="1:14" x14ac:dyDescent="0.25">
      <c r="A35" s="6" t="s">
        <v>14</v>
      </c>
      <c r="B35" s="2" t="s">
        <v>60</v>
      </c>
      <c r="C35" s="26">
        <v>0.36190000000000011</v>
      </c>
      <c r="D35" s="5">
        <v>0.81110000000000015</v>
      </c>
      <c r="E35" s="5">
        <v>0.69459999999999977</v>
      </c>
      <c r="F35" s="5">
        <v>0.36758801571709249</v>
      </c>
      <c r="G35" s="28">
        <f t="shared" ref="G35:H35" si="41">AVERAGE(C35:C37)</f>
        <v>0.36183333333333328</v>
      </c>
      <c r="H35" s="28">
        <f t="shared" si="41"/>
        <v>0.81733333333333347</v>
      </c>
      <c r="I35" s="28">
        <f t="shared" ref="I35:J35" si="42">AVERAGE(E35:E37)</f>
        <v>0.67949999999999999</v>
      </c>
      <c r="J35" s="28">
        <f t="shared" si="42"/>
        <v>0.36710922022916886</v>
      </c>
      <c r="L35" s="20"/>
      <c r="M35" s="26">
        <v>51.778093883357037</v>
      </c>
      <c r="N35" s="24"/>
    </row>
    <row r="36" spans="1:14" x14ac:dyDescent="0.25">
      <c r="A36" s="6"/>
      <c r="B36" s="2" t="s">
        <v>61</v>
      </c>
      <c r="C36" s="26">
        <v>0.35639999999999988</v>
      </c>
      <c r="D36" s="5">
        <v>0.82340000000000035</v>
      </c>
      <c r="E36" s="5">
        <v>0.66990000000000016</v>
      </c>
      <c r="F36" s="5">
        <v>0.35640000000000005</v>
      </c>
      <c r="G36" s="28"/>
      <c r="H36" s="28"/>
      <c r="I36" s="28"/>
      <c r="J36" s="28"/>
      <c r="L36" s="20" t="s">
        <v>20</v>
      </c>
      <c r="M36" s="26">
        <v>51.066856330014254</v>
      </c>
      <c r="N36" s="23">
        <f t="shared" ref="N36" si="43">AVERAGE(M36:M37)</f>
        <v>51.209103840682786</v>
      </c>
    </row>
    <row r="37" spans="1:14" x14ac:dyDescent="0.25">
      <c r="A37" s="6"/>
      <c r="B37" s="2" t="s">
        <v>62</v>
      </c>
      <c r="C37" s="26">
        <v>0.36719999999999997</v>
      </c>
      <c r="D37" s="5">
        <v>0.8175</v>
      </c>
      <c r="E37" s="5">
        <v>0.67400000000000004</v>
      </c>
      <c r="F37" s="5">
        <v>0.37733964497041406</v>
      </c>
      <c r="G37" s="28"/>
      <c r="H37" s="28"/>
      <c r="I37" s="28"/>
      <c r="J37" s="28"/>
      <c r="L37" s="20"/>
      <c r="M37" s="26">
        <v>51.351351351351326</v>
      </c>
      <c r="N37" s="24"/>
    </row>
    <row r="38" spans="1:14" x14ac:dyDescent="0.25">
      <c r="A38" s="6" t="s">
        <v>15</v>
      </c>
      <c r="B38" s="2" t="s">
        <v>63</v>
      </c>
      <c r="C38" s="26">
        <v>0.26669999999999999</v>
      </c>
      <c r="D38" s="5">
        <v>0.85969999999999991</v>
      </c>
      <c r="E38" s="5">
        <v>0.65879999999999994</v>
      </c>
      <c r="F38" s="5">
        <v>0.34211645244215944</v>
      </c>
      <c r="G38" s="28">
        <f t="shared" ref="G38" si="44">AVERAGE(C38:C40)</f>
        <v>0.26533333333333325</v>
      </c>
      <c r="H38" s="28">
        <f t="shared" ref="H38" si="45">AVERAGE(D38:D40)</f>
        <v>0.85470000000000013</v>
      </c>
      <c r="I38" s="28">
        <f t="shared" ref="I38" si="46">AVERAGE(E38:E40)</f>
        <v>0.65379999999999994</v>
      </c>
      <c r="J38" s="28">
        <f t="shared" ref="J38" si="47">AVERAGE(F38:F40)</f>
        <v>0.34294423058613283</v>
      </c>
      <c r="L38" s="20" t="s">
        <v>21</v>
      </c>
      <c r="M38" s="26">
        <v>50.854700854700866</v>
      </c>
      <c r="N38" s="23">
        <f t="shared" ref="N38" si="48">AVERAGE(M38:M39)</f>
        <v>51.705759518259498</v>
      </c>
    </row>
    <row r="39" spans="1:14" x14ac:dyDescent="0.25">
      <c r="A39" s="6"/>
      <c r="B39" s="2" t="s">
        <v>64</v>
      </c>
      <c r="C39" s="26">
        <v>0.27069999999999994</v>
      </c>
      <c r="D39" s="5">
        <v>0.84910000000000008</v>
      </c>
      <c r="E39" s="5">
        <v>0.66680000000000006</v>
      </c>
      <c r="F39" s="5">
        <v>0.35696703296703286</v>
      </c>
      <c r="G39" s="28"/>
      <c r="H39" s="28"/>
      <c r="I39" s="28"/>
      <c r="J39" s="28"/>
      <c r="L39" s="20"/>
      <c r="M39" s="26">
        <v>52.55681818181813</v>
      </c>
      <c r="N39" s="24"/>
    </row>
    <row r="40" spans="1:14" ht="15" customHeight="1" x14ac:dyDescent="0.25">
      <c r="A40" s="6"/>
      <c r="B40" s="2" t="s">
        <v>65</v>
      </c>
      <c r="C40" s="26">
        <v>0.2586</v>
      </c>
      <c r="D40" s="5">
        <v>0.85530000000000006</v>
      </c>
      <c r="E40" s="5">
        <v>0.63579999999999981</v>
      </c>
      <c r="F40" s="5">
        <v>0.32974920634920635</v>
      </c>
      <c r="G40" s="28"/>
      <c r="H40" s="28"/>
      <c r="I40" s="28"/>
      <c r="J40" s="28"/>
      <c r="L40" s="21" t="s">
        <v>22</v>
      </c>
      <c r="M40" s="26">
        <v>57.812500000000014</v>
      </c>
      <c r="N40" s="23">
        <f>AVERAGE(M40,M41)</f>
        <v>58.055186170212764</v>
      </c>
    </row>
    <row r="41" spans="1:14" ht="15" customHeight="1" x14ac:dyDescent="0.25">
      <c r="A41" s="6" t="s">
        <v>16</v>
      </c>
      <c r="B41" s="2" t="s">
        <v>66</v>
      </c>
      <c r="C41" s="26">
        <v>0.28320000000000006</v>
      </c>
      <c r="D41" s="5">
        <v>0.85990000000000011</v>
      </c>
      <c r="E41" s="5">
        <v>0.67979999999999985</v>
      </c>
      <c r="F41" s="5">
        <v>0.30164093023255822</v>
      </c>
      <c r="G41" s="28">
        <f t="shared" ref="G41" si="49">AVERAGE(C41:C43)</f>
        <v>0.2941333333333333</v>
      </c>
      <c r="H41" s="28">
        <f t="shared" ref="H41" si="50">AVERAGE(D41:D43)</f>
        <v>0.84709999999999985</v>
      </c>
      <c r="I41" s="28">
        <f t="shared" ref="I41" si="51">AVERAGE(E41:E43)</f>
        <v>0.67946666666666677</v>
      </c>
      <c r="J41" s="28">
        <f t="shared" ref="J41" si="52">AVERAGE(F41:F43)</f>
        <v>0.31339281655372392</v>
      </c>
      <c r="L41" s="22"/>
      <c r="M41" s="26">
        <v>58.297872340425513</v>
      </c>
      <c r="N41" s="24"/>
    </row>
    <row r="42" spans="1:14" ht="15" customHeight="1" x14ac:dyDescent="0.25">
      <c r="A42" s="6"/>
      <c r="B42" s="2" t="s">
        <v>67</v>
      </c>
      <c r="C42" s="26">
        <v>0.28739999999999993</v>
      </c>
      <c r="D42" s="5">
        <v>0.84389999999999987</v>
      </c>
      <c r="E42" s="5">
        <v>0.68810000000000004</v>
      </c>
      <c r="F42" s="5">
        <v>0.30018686440677955</v>
      </c>
      <c r="G42" s="28"/>
      <c r="H42" s="28"/>
      <c r="I42" s="28"/>
      <c r="J42" s="28"/>
      <c r="L42" s="20" t="s">
        <v>23</v>
      </c>
      <c r="M42" s="26">
        <v>62.571428571428555</v>
      </c>
      <c r="N42" s="23">
        <f t="shared" ref="N42" si="53">AVERAGE(M42:M43)</f>
        <v>63.739351946199292</v>
      </c>
    </row>
    <row r="43" spans="1:14" x14ac:dyDescent="0.25">
      <c r="A43" s="6"/>
      <c r="B43" s="2" t="s">
        <v>68</v>
      </c>
      <c r="C43" s="26">
        <v>0.31179999999999991</v>
      </c>
      <c r="D43" s="5">
        <v>0.83749999999999991</v>
      </c>
      <c r="E43" s="5">
        <v>0.6705000000000001</v>
      </c>
      <c r="F43" s="5">
        <v>0.33835065502183392</v>
      </c>
      <c r="G43" s="28"/>
      <c r="H43" s="28"/>
      <c r="I43" s="28"/>
      <c r="J43" s="28"/>
      <c r="L43" s="20"/>
      <c r="M43" s="26">
        <v>64.907275320970029</v>
      </c>
      <c r="N43" s="24"/>
    </row>
    <row r="44" spans="1:14" ht="15" customHeight="1" x14ac:dyDescent="0.25">
      <c r="A44" s="6" t="s">
        <v>17</v>
      </c>
      <c r="B44" s="2" t="s">
        <v>78</v>
      </c>
      <c r="C44" s="26">
        <v>0.62349999999999994</v>
      </c>
      <c r="D44" s="5">
        <v>0.7330000000000001</v>
      </c>
      <c r="E44" s="5">
        <v>0.62020000000000008</v>
      </c>
      <c r="F44" s="5">
        <v>0.38465367483296214</v>
      </c>
      <c r="G44" s="28">
        <f t="shared" ref="G44" si="54">AVERAGE(C44:C46)</f>
        <v>0.48903333333333326</v>
      </c>
      <c r="H44" s="28">
        <f t="shared" ref="H44" si="55">AVERAGE(D44:D46)</f>
        <v>0.78790000000000016</v>
      </c>
      <c r="I44" s="28">
        <f t="shared" ref="I44" si="56">AVERAGE(E44:E46)</f>
        <v>0.61049999999999993</v>
      </c>
      <c r="J44" s="28">
        <f t="shared" ref="J44" si="57">AVERAGE(F44:F46)</f>
        <v>0.30136829837861262</v>
      </c>
      <c r="L44" s="21" t="s">
        <v>24</v>
      </c>
      <c r="M44" s="26">
        <v>59.57446808510641</v>
      </c>
      <c r="N44" s="23">
        <f>AVERAGE(M44:M45)</f>
        <v>58.165612420931588</v>
      </c>
    </row>
    <row r="45" spans="1:14" ht="15" customHeight="1" x14ac:dyDescent="0.25">
      <c r="A45" s="6"/>
      <c r="B45" s="2" t="s">
        <v>79</v>
      </c>
      <c r="C45" s="26">
        <v>0.46639999999999987</v>
      </c>
      <c r="D45" s="5">
        <v>0.80130000000000023</v>
      </c>
      <c r="E45" s="5">
        <v>0.60270000000000012</v>
      </c>
      <c r="F45" s="5">
        <v>0.28776777041942597</v>
      </c>
      <c r="G45" s="28"/>
      <c r="H45" s="28"/>
      <c r="I45" s="28"/>
      <c r="J45" s="28"/>
      <c r="L45" s="22"/>
      <c r="M45" s="26">
        <v>56.756756756756765</v>
      </c>
      <c r="N45" s="25"/>
    </row>
    <row r="46" spans="1:14" ht="15" customHeight="1" x14ac:dyDescent="0.25">
      <c r="A46" s="6"/>
      <c r="B46" s="2" t="s">
        <v>80</v>
      </c>
      <c r="C46" s="26">
        <v>0.37719999999999998</v>
      </c>
      <c r="D46" s="5">
        <v>0.82940000000000003</v>
      </c>
      <c r="E46" s="5">
        <v>0.60859999999999981</v>
      </c>
      <c r="F46" s="5">
        <v>0.23168344988344983</v>
      </c>
      <c r="G46" s="28"/>
      <c r="H46" s="28"/>
      <c r="I46" s="28"/>
      <c r="J46" s="28"/>
      <c r="L46" s="21" t="s">
        <v>25</v>
      </c>
      <c r="M46" s="26">
        <v>62.285714285714278</v>
      </c>
      <c r="N46" s="23">
        <f>AVERAGE(M46:M47)</f>
        <v>61.78560751654922</v>
      </c>
    </row>
    <row r="47" spans="1:14" ht="15" customHeight="1" x14ac:dyDescent="0.25">
      <c r="A47" s="6" t="s">
        <v>18</v>
      </c>
      <c r="B47" s="2" t="s">
        <v>81</v>
      </c>
      <c r="C47" s="26">
        <v>0.57460000000000011</v>
      </c>
      <c r="D47" s="5">
        <v>0.74799999999999989</v>
      </c>
      <c r="E47" s="5">
        <v>0.61970000000000003</v>
      </c>
      <c r="F47" s="5">
        <v>0.35699158415841575</v>
      </c>
      <c r="G47" s="28">
        <f t="shared" ref="G47:H47" si="58">AVERAGE(C47:C49)</f>
        <v>0.54986666666666684</v>
      </c>
      <c r="H47" s="28">
        <f t="shared" si="58"/>
        <v>0.7645333333333334</v>
      </c>
      <c r="I47" s="28">
        <f t="shared" ref="I47:J47" si="59">AVERAGE(E47:E49)</f>
        <v>0.63739999999999986</v>
      </c>
      <c r="J47" s="28">
        <f t="shared" si="59"/>
        <v>0.34127660234403057</v>
      </c>
      <c r="L47" s="22"/>
      <c r="M47" s="26">
        <v>61.285500747384155</v>
      </c>
      <c r="N47" s="25"/>
    </row>
    <row r="48" spans="1:14" ht="15" customHeight="1" x14ac:dyDescent="0.25">
      <c r="A48" s="6"/>
      <c r="B48" s="2" t="s">
        <v>82</v>
      </c>
      <c r="C48" s="26">
        <v>0.56560000000000021</v>
      </c>
      <c r="D48" s="5">
        <v>0.76539999999999997</v>
      </c>
      <c r="E48" s="5">
        <v>0.63019999999999987</v>
      </c>
      <c r="F48" s="5">
        <v>0.34674631197097966</v>
      </c>
      <c r="G48" s="28"/>
      <c r="H48" s="28"/>
      <c r="I48" s="28"/>
      <c r="J48" s="28"/>
      <c r="L48" s="20" t="s">
        <v>26</v>
      </c>
      <c r="M48" s="26">
        <v>65.954415954415992</v>
      </c>
      <c r="N48" s="23">
        <f t="shared" ref="N48" si="60">AVERAGE(M48:M49)</f>
        <v>66.120877962983229</v>
      </c>
    </row>
    <row r="49" spans="1:14" x14ac:dyDescent="0.25">
      <c r="A49" s="6"/>
      <c r="B49" s="2" t="s">
        <v>83</v>
      </c>
      <c r="C49" s="26">
        <v>0.50940000000000007</v>
      </c>
      <c r="D49" s="5">
        <v>0.78020000000000012</v>
      </c>
      <c r="E49" s="5">
        <v>0.66229999999999978</v>
      </c>
      <c r="F49" s="5">
        <v>0.32009191090269634</v>
      </c>
      <c r="G49" s="28"/>
      <c r="H49" s="28"/>
      <c r="I49" s="28"/>
      <c r="J49" s="28"/>
      <c r="L49" s="20"/>
      <c r="M49" s="26">
        <v>66.28733997155048</v>
      </c>
      <c r="N49" s="24"/>
    </row>
    <row r="50" spans="1:14" x14ac:dyDescent="0.25">
      <c r="A50" s="6" t="s">
        <v>19</v>
      </c>
      <c r="B50" s="2" t="s">
        <v>84</v>
      </c>
      <c r="C50" s="26">
        <v>0.32580000000000015</v>
      </c>
      <c r="D50" s="5">
        <v>0.81530000000000002</v>
      </c>
      <c r="E50" s="5">
        <v>0.62859999999999983</v>
      </c>
      <c r="F50" s="5">
        <v>0.34804095940959429</v>
      </c>
      <c r="G50" s="28">
        <f t="shared" ref="G50" si="61">AVERAGE(C50:C52)</f>
        <v>0.33553333333333341</v>
      </c>
      <c r="H50" s="28">
        <f t="shared" ref="H50" si="62">AVERAGE(D50:D52)</f>
        <v>0.82563333333333322</v>
      </c>
      <c r="I50" s="28">
        <f t="shared" ref="I50" si="63">AVERAGE(E50:E52)</f>
        <v>0.66046666666666665</v>
      </c>
      <c r="J50" s="28">
        <f t="shared" ref="J50" si="64">AVERAGE(F50:F52)</f>
        <v>0.35923005974297362</v>
      </c>
      <c r="L50" s="20" t="s">
        <v>27</v>
      </c>
      <c r="M50" s="26">
        <v>57.631954350927259</v>
      </c>
      <c r="N50" s="23">
        <f t="shared" ref="N50" si="65">AVERAGE(M50:M51)</f>
        <v>56.315977175463615</v>
      </c>
    </row>
    <row r="51" spans="1:14" x14ac:dyDescent="0.25">
      <c r="A51" s="6"/>
      <c r="B51" s="2" t="s">
        <v>85</v>
      </c>
      <c r="C51" s="26">
        <v>0.32820000000000005</v>
      </c>
      <c r="D51" s="5">
        <v>0.8365999999999999</v>
      </c>
      <c r="E51" s="5">
        <v>0.66720000000000002</v>
      </c>
      <c r="F51" s="5">
        <v>0.35389537366548052</v>
      </c>
      <c r="G51" s="28"/>
      <c r="H51" s="28"/>
      <c r="I51" s="28"/>
      <c r="J51" s="28"/>
      <c r="L51" s="20"/>
      <c r="M51" s="26">
        <v>54.999999999999972</v>
      </c>
      <c r="N51" s="24"/>
    </row>
    <row r="52" spans="1:14" x14ac:dyDescent="0.25">
      <c r="A52" s="6"/>
      <c r="B52" s="2" t="s">
        <v>86</v>
      </c>
      <c r="C52" s="26">
        <v>0.35260000000000002</v>
      </c>
      <c r="D52" s="5">
        <v>0.82499999999999984</v>
      </c>
      <c r="E52" s="5">
        <v>0.68559999999999999</v>
      </c>
      <c r="F52" s="5">
        <v>0.3757538461538461</v>
      </c>
      <c r="G52" s="28"/>
      <c r="H52" s="28"/>
      <c r="I52" s="28"/>
      <c r="J52" s="28"/>
      <c r="L52" s="20" t="s">
        <v>28</v>
      </c>
      <c r="M52" s="26">
        <v>53.267045454545467</v>
      </c>
      <c r="N52" s="23">
        <f t="shared" ref="N52" si="66">AVERAGE(M52:M53)</f>
        <v>53.835227272727273</v>
      </c>
    </row>
    <row r="53" spans="1:14" x14ac:dyDescent="0.25">
      <c r="A53" s="6" t="s">
        <v>20</v>
      </c>
      <c r="B53" s="2" t="s">
        <v>87</v>
      </c>
      <c r="C53" s="26">
        <v>0.34290000000000004</v>
      </c>
      <c r="D53" s="5">
        <v>0.81709999999999972</v>
      </c>
      <c r="E53" s="5">
        <v>0.66889999999999983</v>
      </c>
      <c r="F53" s="5">
        <v>0.380321158129176</v>
      </c>
      <c r="G53" s="28">
        <f t="shared" ref="G53" si="67">AVERAGE(C53:C55)</f>
        <v>0.33296666666666669</v>
      </c>
      <c r="H53" s="28">
        <f t="shared" ref="H53" si="68">AVERAGE(D53:D55)</f>
        <v>0.83023333333333327</v>
      </c>
      <c r="I53" s="28">
        <f t="shared" ref="I53" si="69">AVERAGE(E53:E55)</f>
        <v>0.68023333333333325</v>
      </c>
      <c r="J53" s="28">
        <f t="shared" ref="J53" si="70">AVERAGE(F53:F55)</f>
        <v>0.37213793839733372</v>
      </c>
      <c r="L53" s="20"/>
      <c r="M53" s="26">
        <v>54.403409090909079</v>
      </c>
      <c r="N53" s="24"/>
    </row>
    <row r="54" spans="1:14" x14ac:dyDescent="0.25">
      <c r="A54" s="6"/>
      <c r="B54" s="2" t="s">
        <v>88</v>
      </c>
      <c r="C54" s="26">
        <v>0.33870000000000006</v>
      </c>
      <c r="D54" s="5">
        <v>0.82410000000000005</v>
      </c>
      <c r="E54" s="5">
        <v>0.70889999999999986</v>
      </c>
      <c r="F54" s="5">
        <v>0.37479727891156478</v>
      </c>
      <c r="G54" s="28"/>
      <c r="H54" s="28"/>
      <c r="I54" s="28"/>
      <c r="J54" s="28"/>
      <c r="L54" s="20" t="s">
        <v>38</v>
      </c>
      <c r="M54" s="26">
        <v>47.86931818181818</v>
      </c>
      <c r="N54" s="23">
        <f t="shared" ref="N54" si="71">AVERAGE(M54:M55)</f>
        <v>48.39970901958241</v>
      </c>
    </row>
    <row r="55" spans="1:14" x14ac:dyDescent="0.25">
      <c r="A55" s="6"/>
      <c r="B55" s="2" t="s">
        <v>89</v>
      </c>
      <c r="C55" s="26">
        <v>0.31729999999999992</v>
      </c>
      <c r="D55" s="5">
        <v>0.84950000000000025</v>
      </c>
      <c r="E55" s="5">
        <v>0.66289999999999993</v>
      </c>
      <c r="F55" s="5">
        <v>0.36129537815126034</v>
      </c>
      <c r="G55" s="28"/>
      <c r="H55" s="28"/>
      <c r="I55" s="28"/>
      <c r="J55" s="28"/>
      <c r="L55" s="20"/>
      <c r="M55" s="26">
        <v>48.93009985734664</v>
      </c>
      <c r="N55" s="24"/>
    </row>
    <row r="56" spans="1:14" x14ac:dyDescent="0.25">
      <c r="A56" s="6" t="s">
        <v>21</v>
      </c>
      <c r="B56" s="2" t="s">
        <v>90</v>
      </c>
      <c r="C56" s="26">
        <v>0.31419999999999987</v>
      </c>
      <c r="D56" s="5">
        <v>0.83149999999999991</v>
      </c>
      <c r="E56" s="5">
        <v>0.63090000000000013</v>
      </c>
      <c r="F56" s="5">
        <v>0.23576812030075178</v>
      </c>
      <c r="G56" s="28">
        <f t="shared" ref="G56:H56" si="72">AVERAGE(C56:C58)</f>
        <v>0.31453333333333322</v>
      </c>
      <c r="H56" s="28">
        <f t="shared" si="72"/>
        <v>0.82276666666666676</v>
      </c>
      <c r="I56" s="28">
        <f t="shared" ref="I56:J56" si="73">AVERAGE(E56:E58)</f>
        <v>0.60630000000000006</v>
      </c>
      <c r="J56" s="28">
        <f t="shared" si="73"/>
        <v>0.23890982143653275</v>
      </c>
      <c r="L56" s="20" t="s">
        <v>29</v>
      </c>
      <c r="M56" s="26">
        <v>47.017045454545446</v>
      </c>
      <c r="N56" s="23">
        <f t="shared" ref="N56" si="74">AVERAGE(M56:M57)</f>
        <v>47.406104519591366</v>
      </c>
    </row>
    <row r="57" spans="1:14" x14ac:dyDescent="0.25">
      <c r="A57" s="6"/>
      <c r="B57" s="2">
        <v>106</v>
      </c>
      <c r="C57" s="26">
        <v>0.29679999999999995</v>
      </c>
      <c r="D57" s="5">
        <v>0.8276</v>
      </c>
      <c r="E57" s="5">
        <v>0.57090000000000007</v>
      </c>
      <c r="F57" s="5">
        <v>0.2256521985815603</v>
      </c>
      <c r="G57" s="28"/>
      <c r="H57" s="28"/>
      <c r="I57" s="28"/>
      <c r="J57" s="28"/>
      <c r="L57" s="20"/>
      <c r="M57" s="26">
        <v>47.795163584637294</v>
      </c>
      <c r="N57" s="24"/>
    </row>
    <row r="58" spans="1:14" x14ac:dyDescent="0.25">
      <c r="A58" s="6"/>
      <c r="B58" s="2" t="s">
        <v>91</v>
      </c>
      <c r="C58" s="26">
        <v>0.3325999999999999</v>
      </c>
      <c r="D58" s="5">
        <v>0.80919999999999992</v>
      </c>
      <c r="E58" s="5">
        <v>0.61710000000000009</v>
      </c>
      <c r="F58" s="5">
        <v>0.25530914542728622</v>
      </c>
      <c r="G58" s="28"/>
      <c r="H58" s="28"/>
      <c r="I58" s="28"/>
      <c r="J58" s="28"/>
      <c r="L58" s="20" t="s">
        <v>39</v>
      </c>
      <c r="M58" s="26">
        <v>55.03546099290778</v>
      </c>
      <c r="N58" s="23">
        <f t="shared" ref="N58" si="75">AVERAGE(M58:M59)</f>
        <v>54.539007092198553</v>
      </c>
    </row>
    <row r="59" spans="1:14" x14ac:dyDescent="0.25">
      <c r="A59" s="6" t="s">
        <v>22</v>
      </c>
      <c r="B59" s="2" t="s">
        <v>92</v>
      </c>
      <c r="C59" s="26">
        <v>0.29209999999999992</v>
      </c>
      <c r="D59" s="5">
        <v>0.84000000000000008</v>
      </c>
      <c r="E59" s="5">
        <v>0.66709999999999992</v>
      </c>
      <c r="F59" s="5">
        <v>0.28344090909090902</v>
      </c>
      <c r="G59" s="28">
        <f t="shared" ref="G59" si="76">AVERAGE(C59:C61)</f>
        <v>0.29996666666666666</v>
      </c>
      <c r="H59" s="28">
        <f t="shared" ref="H59" si="77">AVERAGE(D59:D61)</f>
        <v>0.83946666666666669</v>
      </c>
      <c r="I59" s="28">
        <f t="shared" ref="I59" si="78">AVERAGE(E59:E61)</f>
        <v>0.67446666666666655</v>
      </c>
      <c r="J59" s="28">
        <f t="shared" ref="J59" si="79">AVERAGE(F59:F61)</f>
        <v>0.29993450085307632</v>
      </c>
      <c r="L59" s="20"/>
      <c r="M59" s="26">
        <v>54.042553191489326</v>
      </c>
      <c r="N59" s="24"/>
    </row>
    <row r="60" spans="1:14" ht="15" customHeight="1" x14ac:dyDescent="0.25">
      <c r="A60" s="6"/>
      <c r="B60" s="2" t="s">
        <v>93</v>
      </c>
      <c r="C60" s="26">
        <v>0.31180000000000008</v>
      </c>
      <c r="D60" s="5">
        <v>0.83389999999999986</v>
      </c>
      <c r="E60" s="5">
        <v>0.67919999999999991</v>
      </c>
      <c r="F60" s="5">
        <v>0.31685963488843832</v>
      </c>
      <c r="G60" s="28"/>
      <c r="H60" s="28"/>
      <c r="I60" s="28"/>
      <c r="J60" s="28"/>
      <c r="L60" s="21" t="s">
        <v>30</v>
      </c>
      <c r="M60" s="26">
        <v>58.297872340425513</v>
      </c>
      <c r="N60" s="23">
        <f>AVERAGE(M60,M61)</f>
        <v>58.309675857268239</v>
      </c>
    </row>
    <row r="61" spans="1:14" ht="15" customHeight="1" x14ac:dyDescent="0.25">
      <c r="A61" s="6"/>
      <c r="B61" s="2" t="s">
        <v>94</v>
      </c>
      <c r="C61" s="26">
        <v>0.29599999999999993</v>
      </c>
      <c r="D61" s="5">
        <v>0.84450000000000014</v>
      </c>
      <c r="E61" s="5">
        <v>0.67710000000000004</v>
      </c>
      <c r="F61" s="5">
        <v>0.29950295857988168</v>
      </c>
      <c r="G61" s="28"/>
      <c r="H61" s="28"/>
      <c r="I61" s="28"/>
      <c r="J61" s="28"/>
      <c r="L61" s="22"/>
      <c r="M61" s="26">
        <v>58.321479374110964</v>
      </c>
      <c r="N61" s="24"/>
    </row>
    <row r="62" spans="1:14" ht="15" customHeight="1" x14ac:dyDescent="0.25">
      <c r="A62" s="6" t="s">
        <v>23</v>
      </c>
      <c r="B62" s="2" t="s">
        <v>95</v>
      </c>
      <c r="C62" s="26">
        <v>0.26339999999999991</v>
      </c>
      <c r="D62" s="5">
        <v>0.85410000000000008</v>
      </c>
      <c r="E62" s="5">
        <v>0.67840000000000011</v>
      </c>
      <c r="F62" s="5">
        <v>0.2882077562326868</v>
      </c>
      <c r="G62" s="28">
        <f t="shared" ref="G62:H62" si="80">AVERAGE(C62:C64)</f>
        <v>0.26263333333333327</v>
      </c>
      <c r="H62" s="28">
        <f t="shared" si="80"/>
        <v>0.85816666666666663</v>
      </c>
      <c r="I62" s="28">
        <f t="shared" ref="I62:J62" si="81">AVERAGE(E62:E64)</f>
        <v>0.6798333333333334</v>
      </c>
      <c r="J62" s="28">
        <f t="shared" si="81"/>
        <v>0.29013154374422884</v>
      </c>
      <c r="L62" s="20" t="s">
        <v>31</v>
      </c>
      <c r="M62" s="26">
        <v>47.301136363636353</v>
      </c>
      <c r="N62" s="23">
        <f t="shared" ref="N62" si="82">AVERAGE(M62:M63)</f>
        <v>47.585227272727252</v>
      </c>
    </row>
    <row r="63" spans="1:14" x14ac:dyDescent="0.25">
      <c r="A63" s="6"/>
      <c r="B63" s="2" t="s">
        <v>96</v>
      </c>
      <c r="C63" s="26">
        <v>0.25989999999999996</v>
      </c>
      <c r="D63" s="5">
        <v>0.86420000000000008</v>
      </c>
      <c r="E63" s="5">
        <v>0.68619999999999992</v>
      </c>
      <c r="F63" s="5">
        <v>0.28589000000000003</v>
      </c>
      <c r="G63" s="28"/>
      <c r="H63" s="28"/>
      <c r="I63" s="28"/>
      <c r="J63" s="28"/>
      <c r="L63" s="20"/>
      <c r="M63" s="26">
        <v>47.869318181818159</v>
      </c>
      <c r="N63" s="24"/>
    </row>
    <row r="64" spans="1:14" x14ac:dyDescent="0.25">
      <c r="A64" s="6"/>
      <c r="B64" s="2" t="s">
        <v>97</v>
      </c>
      <c r="C64" s="26">
        <v>0.26459999999999995</v>
      </c>
      <c r="D64" s="5">
        <v>0.85619999999999974</v>
      </c>
      <c r="E64" s="5">
        <v>0.67490000000000017</v>
      </c>
      <c r="F64" s="5">
        <v>0.29629687499999979</v>
      </c>
      <c r="G64" s="28"/>
      <c r="H64" s="28"/>
      <c r="I64" s="28"/>
      <c r="J64" s="28"/>
      <c r="L64" s="20" t="s">
        <v>32</v>
      </c>
      <c r="M64" s="26">
        <v>42.105263157894733</v>
      </c>
      <c r="N64" s="23">
        <f t="shared" ref="N64" si="83">AVERAGE(M64:M65)</f>
        <v>42.521961108191306</v>
      </c>
    </row>
    <row r="65" spans="1:14" x14ac:dyDescent="0.25">
      <c r="A65" s="6" t="s">
        <v>24</v>
      </c>
      <c r="B65" s="2" t="s">
        <v>98</v>
      </c>
      <c r="C65" s="26">
        <v>0.27950000000000003</v>
      </c>
      <c r="D65" s="5">
        <v>0.85980000000000012</v>
      </c>
      <c r="E65" s="5">
        <v>0.71199999999999986</v>
      </c>
      <c r="F65" s="5">
        <v>0.30822805139186299</v>
      </c>
      <c r="G65" s="28">
        <f t="shared" ref="G65" si="84">AVERAGE(C65:C67)</f>
        <v>0.27776666666666666</v>
      </c>
      <c r="H65" s="28">
        <f t="shared" ref="H65" si="85">AVERAGE(D65:D67)</f>
        <v>0.85546666666666671</v>
      </c>
      <c r="I65" s="28">
        <f t="shared" ref="I65" si="86">AVERAGE(E65:E67)</f>
        <v>0.70406666666666673</v>
      </c>
      <c r="J65" s="28">
        <f t="shared" ref="J65" si="87">AVERAGE(F65:F67)</f>
        <v>0.30786527970662986</v>
      </c>
      <c r="L65" s="20"/>
      <c r="M65" s="26">
        <v>42.938659058487872</v>
      </c>
      <c r="N65" s="24"/>
    </row>
    <row r="66" spans="1:14" x14ac:dyDescent="0.25">
      <c r="A66" s="6"/>
      <c r="B66" s="2">
        <v>65</v>
      </c>
      <c r="C66" s="26">
        <v>0.27500000000000002</v>
      </c>
      <c r="D66" s="5">
        <v>0.86030000000000006</v>
      </c>
      <c r="E66" s="5">
        <v>0.69690000000000007</v>
      </c>
      <c r="F66" s="5">
        <v>0.30373134328358209</v>
      </c>
      <c r="G66" s="28"/>
      <c r="H66" s="28"/>
      <c r="I66" s="28"/>
      <c r="J66" s="28"/>
      <c r="L66" s="20" t="s">
        <v>40</v>
      </c>
      <c r="M66" s="26">
        <v>33.6170212765957</v>
      </c>
      <c r="N66" s="23">
        <f t="shared" ref="N66" si="88">AVERAGE(M66:M67)</f>
        <v>33.593213187872905</v>
      </c>
    </row>
    <row r="67" spans="1:14" x14ac:dyDescent="0.25">
      <c r="A67" s="6"/>
      <c r="B67" s="2" t="s">
        <v>99</v>
      </c>
      <c r="C67" s="26">
        <v>0.27879999999999994</v>
      </c>
      <c r="D67" s="5">
        <v>0.84630000000000005</v>
      </c>
      <c r="E67" s="5">
        <v>0.70329999999999993</v>
      </c>
      <c r="F67" s="5">
        <v>0.31163644444444449</v>
      </c>
      <c r="G67" s="28"/>
      <c r="H67" s="28"/>
      <c r="I67" s="28"/>
      <c r="J67" s="28"/>
      <c r="L67" s="20"/>
      <c r="M67" s="26">
        <v>33.569405099150117</v>
      </c>
      <c r="N67" s="24"/>
    </row>
    <row r="68" spans="1:14" x14ac:dyDescent="0.25">
      <c r="A68" s="6" t="s">
        <v>25</v>
      </c>
      <c r="B68" s="2">
        <v>110</v>
      </c>
      <c r="C68" s="26">
        <v>0.31120000000000003</v>
      </c>
      <c r="D68" s="5">
        <v>0.84650000000000003</v>
      </c>
      <c r="E68" s="5">
        <v>0.65280000000000005</v>
      </c>
      <c r="F68" s="5">
        <v>0.33365130260521042</v>
      </c>
      <c r="G68" s="28">
        <f t="shared" ref="G68:H68" si="89">AVERAGE(C68:C70)</f>
        <v>0.29470000000000002</v>
      </c>
      <c r="H68" s="28">
        <f t="shared" si="89"/>
        <v>0.84423333333333339</v>
      </c>
      <c r="I68" s="28">
        <f t="shared" ref="I68:J68" si="90">AVERAGE(E68:E70)</f>
        <v>0.65633333333333332</v>
      </c>
      <c r="J68" s="28">
        <f t="shared" si="90"/>
        <v>0.31893559544056188</v>
      </c>
      <c r="L68" s="20" t="s">
        <v>33</v>
      </c>
      <c r="M68" s="26">
        <v>31.392045454545482</v>
      </c>
      <c r="N68" s="23">
        <f t="shared" ref="N68" si="91">AVERAGE(M68:M69)</f>
        <v>31.009413040663045</v>
      </c>
    </row>
    <row r="69" spans="1:14" x14ac:dyDescent="0.25">
      <c r="A69" s="6"/>
      <c r="B69" s="2" t="s">
        <v>100</v>
      </c>
      <c r="C69" s="26">
        <v>0.29369999999999991</v>
      </c>
      <c r="D69" s="5">
        <v>0.84039999999999992</v>
      </c>
      <c r="E69" s="5">
        <v>0.66860000000000019</v>
      </c>
      <c r="F69" s="5">
        <v>0.32095625</v>
      </c>
      <c r="G69" s="28"/>
      <c r="H69" s="28"/>
      <c r="I69" s="28"/>
      <c r="J69" s="28"/>
      <c r="L69" s="20"/>
      <c r="M69" s="26">
        <v>30.626780626780608</v>
      </c>
      <c r="N69" s="24"/>
    </row>
    <row r="70" spans="1:14" x14ac:dyDescent="0.25">
      <c r="A70" s="6"/>
      <c r="B70" s="2" t="s">
        <v>101</v>
      </c>
      <c r="C70" s="26">
        <v>0.2792</v>
      </c>
      <c r="D70" s="5">
        <v>0.84580000000000011</v>
      </c>
      <c r="E70" s="5">
        <v>0.64759999999999995</v>
      </c>
      <c r="F70" s="5">
        <v>0.30219923371647511</v>
      </c>
      <c r="G70" s="28"/>
      <c r="H70" s="28"/>
      <c r="I70" s="28"/>
      <c r="J70" s="28"/>
      <c r="L70" s="20" t="s">
        <v>34</v>
      </c>
      <c r="M70" s="26">
        <v>42.247510668563322</v>
      </c>
      <c r="N70" s="23">
        <f t="shared" ref="N70" si="92">AVERAGE(M70:M71)</f>
        <v>41.665838073226034</v>
      </c>
    </row>
    <row r="71" spans="1:14" x14ac:dyDescent="0.25">
      <c r="A71" s="6" t="s">
        <v>26</v>
      </c>
      <c r="B71" s="2" t="s">
        <v>102</v>
      </c>
      <c r="C71" s="26">
        <v>0.33089999999999992</v>
      </c>
      <c r="D71" s="5">
        <v>0.82780000000000031</v>
      </c>
      <c r="E71" s="5">
        <v>0.67610000000000026</v>
      </c>
      <c r="F71" s="5">
        <v>0.4357241134751772</v>
      </c>
      <c r="G71" s="28">
        <f t="shared" ref="G71" si="93">AVERAGE(C71:C73)</f>
        <v>0.32709999999999989</v>
      </c>
      <c r="H71" s="28">
        <f t="shared" ref="H71" si="94">AVERAGE(D71:D73)</f>
        <v>0.83173333333333355</v>
      </c>
      <c r="I71" s="28">
        <f t="shared" ref="I71" si="95">AVERAGE(E71:E73)</f>
        <v>0.67846666666666666</v>
      </c>
      <c r="J71" s="28">
        <f t="shared" ref="J71" si="96">AVERAGE(F71:F73)</f>
        <v>0.42169388938954405</v>
      </c>
      <c r="L71" s="20"/>
      <c r="M71" s="26">
        <v>41.084165477888746</v>
      </c>
      <c r="N71" s="24"/>
    </row>
    <row r="72" spans="1:14" x14ac:dyDescent="0.25">
      <c r="A72" s="6"/>
      <c r="B72" s="2" t="s">
        <v>103</v>
      </c>
      <c r="C72" s="26">
        <v>0.33059999999999989</v>
      </c>
      <c r="D72" s="5">
        <v>0.83400000000000007</v>
      </c>
      <c r="E72" s="5">
        <v>0.68180000000000007</v>
      </c>
      <c r="F72" s="5">
        <v>0.42527528868360265</v>
      </c>
      <c r="G72" s="28"/>
      <c r="H72" s="28"/>
      <c r="I72" s="28"/>
      <c r="J72" s="28"/>
      <c r="L72" s="20" t="s">
        <v>35</v>
      </c>
      <c r="M72" s="26">
        <v>38.975817923186355</v>
      </c>
      <c r="N72" s="23">
        <f t="shared" ref="N72" si="97">AVERAGE(M72:M73)</f>
        <v>39.102744910237959</v>
      </c>
    </row>
    <row r="73" spans="1:14" x14ac:dyDescent="0.25">
      <c r="A73" s="6"/>
      <c r="B73" s="2">
        <v>74</v>
      </c>
      <c r="C73" s="26">
        <v>0.31979999999999992</v>
      </c>
      <c r="D73" s="5">
        <v>0.83340000000000003</v>
      </c>
      <c r="E73" s="5">
        <v>0.67749999999999999</v>
      </c>
      <c r="F73" s="5">
        <v>0.4040822660098522</v>
      </c>
      <c r="G73" s="28"/>
      <c r="H73" s="28"/>
      <c r="I73" s="28"/>
      <c r="J73" s="28"/>
      <c r="L73" s="20"/>
      <c r="M73" s="26">
        <v>39.229671897289563</v>
      </c>
      <c r="N73" s="24"/>
    </row>
    <row r="74" spans="1:14" x14ac:dyDescent="0.25">
      <c r="A74" s="6" t="s">
        <v>27</v>
      </c>
      <c r="B74" s="2" t="s">
        <v>104</v>
      </c>
      <c r="C74" s="26">
        <v>0.28400000000000003</v>
      </c>
      <c r="D74" s="5">
        <v>0.85519999999999996</v>
      </c>
      <c r="E74" s="5">
        <v>0.67599999999999993</v>
      </c>
      <c r="F74" s="5">
        <v>0.28182208588957058</v>
      </c>
      <c r="G74" s="28">
        <f t="shared" ref="G74" si="98">AVERAGE(C74:C76)</f>
        <v>0.28059999999999996</v>
      </c>
      <c r="H74" s="28">
        <f t="shared" ref="H74" si="99">AVERAGE(D74:D76)</f>
        <v>0.86166666666666669</v>
      </c>
      <c r="I74" s="28">
        <f t="shared" ref="I74" si="100">AVERAGE(E74:E76)</f>
        <v>0.67056666666666676</v>
      </c>
      <c r="J74" s="28">
        <f t="shared" ref="J74" si="101">AVERAGE(F74:F76)</f>
        <v>0.27733403713440008</v>
      </c>
      <c r="L74" s="20" t="s">
        <v>36</v>
      </c>
      <c r="M74" s="26">
        <v>38.264580369843529</v>
      </c>
      <c r="N74" s="23">
        <f t="shared" ref="N74" si="102">AVERAGE(M74:M75)</f>
        <v>37.766714082503555</v>
      </c>
    </row>
    <row r="75" spans="1:14" x14ac:dyDescent="0.25">
      <c r="A75" s="6"/>
      <c r="B75" s="2" t="s">
        <v>105</v>
      </c>
      <c r="C75" s="26">
        <v>0.28069999999999995</v>
      </c>
      <c r="D75" s="5">
        <v>0.86160000000000025</v>
      </c>
      <c r="E75" s="5">
        <v>0.68070000000000008</v>
      </c>
      <c r="F75" s="5">
        <v>0.28567548005908416</v>
      </c>
      <c r="G75" s="28"/>
      <c r="H75" s="28"/>
      <c r="I75" s="28"/>
      <c r="J75" s="28"/>
      <c r="L75" s="20"/>
      <c r="M75" s="26">
        <v>37.268847795163587</v>
      </c>
      <c r="N75" s="24"/>
    </row>
    <row r="76" spans="1:14" x14ac:dyDescent="0.25">
      <c r="A76" s="6"/>
      <c r="B76" s="2" t="s">
        <v>106</v>
      </c>
      <c r="C76" s="26">
        <v>0.27709999999999996</v>
      </c>
      <c r="D76" s="5">
        <v>0.86819999999999997</v>
      </c>
      <c r="E76" s="5">
        <v>0.65500000000000003</v>
      </c>
      <c r="F76" s="5">
        <v>0.26450454545454549</v>
      </c>
      <c r="G76" s="28"/>
      <c r="H76" s="28"/>
      <c r="I76" s="28"/>
      <c r="J76" s="28"/>
      <c r="L76" s="20" t="s">
        <v>37</v>
      </c>
      <c r="M76" s="26">
        <v>35.419630156472273</v>
      </c>
      <c r="N76" s="23">
        <f t="shared" ref="N76" si="103">AVERAGE(M76:M77)</f>
        <v>35.607542350963413</v>
      </c>
    </row>
    <row r="77" spans="1:14" x14ac:dyDescent="0.25">
      <c r="A77" s="6" t="s">
        <v>28</v>
      </c>
      <c r="B77" s="2">
        <v>61</v>
      </c>
      <c r="C77" s="26">
        <v>0.29790000000000005</v>
      </c>
      <c r="D77" s="5">
        <v>0.85310000000000019</v>
      </c>
      <c r="E77" s="5">
        <v>0.69749999999999979</v>
      </c>
      <c r="F77" s="5">
        <v>0.32492332613390945</v>
      </c>
      <c r="G77" s="28">
        <f t="shared" ref="G77" si="104">AVERAGE(C77:C79)</f>
        <v>0.30573333333333336</v>
      </c>
      <c r="H77" s="28">
        <f t="shared" ref="H77" si="105">AVERAGE(D77:D79)</f>
        <v>0.84973333333333334</v>
      </c>
      <c r="I77" s="28">
        <f t="shared" ref="I77" si="106">AVERAGE(E77:E79)</f>
        <v>0.68746666666666656</v>
      </c>
      <c r="J77" s="28">
        <f t="shared" ref="J77" si="107">AVERAGE(F77:F79)</f>
        <v>0.34264854557998992</v>
      </c>
      <c r="L77" s="20"/>
      <c r="M77" s="26">
        <v>35.795454545454554</v>
      </c>
      <c r="N77" s="24"/>
    </row>
    <row r="78" spans="1:14" x14ac:dyDescent="0.25">
      <c r="A78" s="6"/>
      <c r="B78" s="2" t="s">
        <v>107</v>
      </c>
      <c r="C78" s="26">
        <v>0.31759999999999988</v>
      </c>
      <c r="D78" s="5">
        <v>0.8418000000000001</v>
      </c>
      <c r="E78" s="5">
        <v>0.67280000000000018</v>
      </c>
      <c r="F78" s="5">
        <v>0.36235272727272705</v>
      </c>
      <c r="G78" s="28"/>
      <c r="H78" s="28"/>
      <c r="I78" s="28"/>
      <c r="J78" s="28"/>
    </row>
    <row r="79" spans="1:14" x14ac:dyDescent="0.25">
      <c r="A79" s="6"/>
      <c r="B79" s="2">
        <v>115</v>
      </c>
      <c r="C79" s="26">
        <v>0.30170000000000002</v>
      </c>
      <c r="D79" s="5">
        <v>0.85429999999999984</v>
      </c>
      <c r="E79" s="5">
        <v>0.69209999999999994</v>
      </c>
      <c r="F79" s="5">
        <v>0.3406695833333333</v>
      </c>
      <c r="G79" s="28"/>
      <c r="H79" s="28"/>
      <c r="I79" s="28"/>
      <c r="J79" s="28"/>
    </row>
    <row r="80" spans="1:14" x14ac:dyDescent="0.25">
      <c r="A80" s="6" t="s">
        <v>38</v>
      </c>
      <c r="B80" s="2">
        <v>112</v>
      </c>
      <c r="C80" s="26">
        <v>0.33799999999999986</v>
      </c>
      <c r="D80" s="5">
        <v>0.83190000000000031</v>
      </c>
      <c r="E80" s="5">
        <v>0.67380000000000029</v>
      </c>
      <c r="F80" s="5">
        <v>0.30513888888888885</v>
      </c>
      <c r="G80" s="28">
        <f t="shared" ref="G80:H80" si="108">AVERAGE(C80:C82)</f>
        <v>0.32803333333333323</v>
      </c>
      <c r="H80" s="28">
        <f t="shared" si="108"/>
        <v>0.83763333333333334</v>
      </c>
      <c r="I80" s="28">
        <f t="shared" ref="I80:J80" si="109">AVERAGE(E80:E82)</f>
        <v>0.66183333333333338</v>
      </c>
      <c r="J80" s="28">
        <f t="shared" si="109"/>
        <v>0.299014854215918</v>
      </c>
    </row>
    <row r="81" spans="1:10" x14ac:dyDescent="0.25">
      <c r="A81" s="6"/>
      <c r="B81" s="2">
        <v>111</v>
      </c>
      <c r="C81" s="26">
        <v>0.33260000000000006</v>
      </c>
      <c r="D81" s="5">
        <v>0.83720000000000006</v>
      </c>
      <c r="E81" s="5">
        <v>0.66599999999999993</v>
      </c>
      <c r="F81" s="5">
        <v>0.30842163120567373</v>
      </c>
      <c r="G81" s="28"/>
      <c r="H81" s="28"/>
      <c r="I81" s="28"/>
      <c r="J81" s="28"/>
    </row>
    <row r="82" spans="1:10" x14ac:dyDescent="0.25">
      <c r="A82" s="6"/>
      <c r="B82" s="2">
        <v>114</v>
      </c>
      <c r="C82" s="26">
        <v>0.31349999999999995</v>
      </c>
      <c r="D82" s="5">
        <v>0.84379999999999999</v>
      </c>
      <c r="E82" s="5">
        <v>0.64569999999999994</v>
      </c>
      <c r="F82" s="5">
        <v>0.28348404255319137</v>
      </c>
      <c r="G82" s="28"/>
      <c r="H82" s="28"/>
      <c r="I82" s="28"/>
      <c r="J82" s="28"/>
    </row>
    <row r="83" spans="1:10" x14ac:dyDescent="0.25">
      <c r="A83" s="6" t="s">
        <v>29</v>
      </c>
      <c r="B83" s="2" t="s">
        <v>108</v>
      </c>
      <c r="C83" s="26">
        <v>0.35299999999999998</v>
      </c>
      <c r="D83" s="5">
        <v>0.82640000000000025</v>
      </c>
      <c r="E83" s="5">
        <v>0.70020000000000016</v>
      </c>
      <c r="F83" s="5">
        <v>0.32618294573643397</v>
      </c>
      <c r="G83" s="28">
        <f t="shared" ref="G83" si="110">AVERAGE(C83:C85)</f>
        <v>0.34543333333333343</v>
      </c>
      <c r="H83" s="28">
        <f t="shared" ref="H83" si="111">AVERAGE(D83:D85)</f>
        <v>0.83276666666666677</v>
      </c>
      <c r="I83" s="28">
        <f t="shared" ref="I83" si="112">AVERAGE(E83:E85)</f>
        <v>0.69356666666666678</v>
      </c>
      <c r="J83" s="28">
        <f t="shared" ref="J83" si="113">AVERAGE(F83:F85)</f>
        <v>0.31675852944330291</v>
      </c>
    </row>
    <row r="84" spans="1:10" x14ac:dyDescent="0.25">
      <c r="A84" s="6"/>
      <c r="B84" s="2" t="s">
        <v>109</v>
      </c>
      <c r="C84" s="26">
        <v>0.33829999999999999</v>
      </c>
      <c r="D84" s="5">
        <v>0.83620000000000005</v>
      </c>
      <c r="E84" s="5">
        <v>0.68179999999999996</v>
      </c>
      <c r="F84" s="5">
        <v>0.30739759615384626</v>
      </c>
      <c r="G84" s="28"/>
      <c r="H84" s="28"/>
      <c r="I84" s="28"/>
      <c r="J84" s="28"/>
    </row>
    <row r="85" spans="1:10" x14ac:dyDescent="0.25">
      <c r="A85" s="6"/>
      <c r="B85" s="2">
        <v>105</v>
      </c>
      <c r="C85" s="26">
        <v>0.34500000000000014</v>
      </c>
      <c r="D85" s="5">
        <v>0.8357</v>
      </c>
      <c r="E85" s="5">
        <v>0.6987000000000001</v>
      </c>
      <c r="F85" s="5">
        <v>0.31669504643962854</v>
      </c>
      <c r="G85" s="28"/>
      <c r="H85" s="28"/>
      <c r="I85" s="28"/>
      <c r="J85" s="28"/>
    </row>
    <row r="86" spans="1:10" x14ac:dyDescent="0.25">
      <c r="A86" s="6" t="s">
        <v>39</v>
      </c>
      <c r="B86" s="2" t="s">
        <v>110</v>
      </c>
      <c r="C86" s="26">
        <v>0.41789759995156328</v>
      </c>
      <c r="D86" s="5">
        <v>0.75592500721374445</v>
      </c>
      <c r="E86" s="5">
        <v>0.47383664876397746</v>
      </c>
      <c r="F86" s="5">
        <v>0.42142416197647092</v>
      </c>
      <c r="G86" s="28">
        <f t="shared" ref="G86" si="114">AVERAGE(C86:C88)</f>
        <v>0.42770999240968993</v>
      </c>
      <c r="H86" s="28">
        <f t="shared" ref="H86" si="115">AVERAGE(D86:D88)</f>
        <v>0.78083849773645786</v>
      </c>
      <c r="I86" s="28">
        <f t="shared" ref="I86" si="116">AVERAGE(E86:E88)</f>
        <v>0.48726714678073613</v>
      </c>
      <c r="J86" s="28">
        <f t="shared" ref="J86" si="117">AVERAGE(F86:F88)</f>
        <v>0.42023146843652776</v>
      </c>
    </row>
    <row r="87" spans="1:10" x14ac:dyDescent="0.25">
      <c r="A87" s="6"/>
      <c r="B87" s="2">
        <v>1038</v>
      </c>
      <c r="C87" s="26">
        <v>0.43347465649719885</v>
      </c>
      <c r="D87" s="5">
        <v>0.79446962366796969</v>
      </c>
      <c r="E87" s="5">
        <v>0.50545310315885228</v>
      </c>
      <c r="F87" s="5">
        <v>0.43169812101975119</v>
      </c>
      <c r="G87" s="28"/>
      <c r="H87" s="28"/>
      <c r="I87" s="28"/>
      <c r="J87" s="28"/>
    </row>
    <row r="88" spans="1:10" x14ac:dyDescent="0.25">
      <c r="A88" s="6"/>
      <c r="B88" s="2" t="s">
        <v>111</v>
      </c>
      <c r="C88" s="26">
        <v>0.43175772078030761</v>
      </c>
      <c r="D88" s="5">
        <v>0.7921208623276591</v>
      </c>
      <c r="E88" s="5">
        <v>0.48251168841937864</v>
      </c>
      <c r="F88" s="5">
        <v>0.40757212231336104</v>
      </c>
      <c r="G88" s="28"/>
      <c r="H88" s="28"/>
      <c r="I88" s="28"/>
      <c r="J88" s="28"/>
    </row>
    <row r="89" spans="1:10" x14ac:dyDescent="0.25">
      <c r="A89" s="6" t="s">
        <v>30</v>
      </c>
      <c r="B89" s="2">
        <v>104</v>
      </c>
      <c r="C89" s="26">
        <v>0.48369999999999991</v>
      </c>
      <c r="D89" s="5">
        <v>0.77120000000000011</v>
      </c>
      <c r="E89" s="5">
        <v>0.61900000000000011</v>
      </c>
      <c r="F89" s="5">
        <v>0.46961969178082186</v>
      </c>
      <c r="G89" s="28">
        <f t="shared" ref="G89:H89" si="118">AVERAGE(C89:C91)</f>
        <v>0.48180000000000001</v>
      </c>
      <c r="H89" s="28">
        <f t="shared" si="118"/>
        <v>0.77870000000000006</v>
      </c>
      <c r="I89" s="28">
        <f t="shared" ref="I89:J89" si="119">AVERAGE(E89:E91)</f>
        <v>0.62953333333333328</v>
      </c>
      <c r="J89" s="28">
        <f t="shared" si="119"/>
        <v>0.4533567113906945</v>
      </c>
    </row>
    <row r="90" spans="1:10" x14ac:dyDescent="0.25">
      <c r="A90" s="6"/>
      <c r="B90" s="2">
        <v>113</v>
      </c>
      <c r="C90" s="26">
        <v>0.48190000000000011</v>
      </c>
      <c r="D90" s="5">
        <v>0.78149999999999975</v>
      </c>
      <c r="E90" s="5">
        <v>0.64169999999999983</v>
      </c>
      <c r="F90" s="5">
        <v>0.44915766550522651</v>
      </c>
      <c r="G90" s="28"/>
      <c r="H90" s="28"/>
      <c r="I90" s="28"/>
      <c r="J90" s="28"/>
    </row>
    <row r="91" spans="1:10" x14ac:dyDescent="0.25">
      <c r="A91" s="6"/>
      <c r="B91" s="2">
        <v>120</v>
      </c>
      <c r="C91" s="26">
        <v>0.47980000000000006</v>
      </c>
      <c r="D91" s="5">
        <v>0.7834000000000001</v>
      </c>
      <c r="E91" s="5">
        <v>0.6278999999999999</v>
      </c>
      <c r="F91" s="5">
        <v>0.4412927768860353</v>
      </c>
      <c r="G91" s="28"/>
      <c r="H91" s="28"/>
      <c r="I91" s="28"/>
      <c r="J91" s="28"/>
    </row>
    <row r="92" spans="1:10" x14ac:dyDescent="0.25">
      <c r="A92" s="6" t="s">
        <v>31</v>
      </c>
      <c r="B92" s="2" t="s">
        <v>112</v>
      </c>
      <c r="C92" s="26">
        <v>0.4152053462654044</v>
      </c>
      <c r="D92" s="5">
        <v>0.79242000162612114</v>
      </c>
      <c r="E92" s="5">
        <v>0.5482226209815545</v>
      </c>
      <c r="F92" s="5">
        <v>0.30730844675970065</v>
      </c>
      <c r="G92" s="28">
        <f t="shared" ref="G92" si="120">AVERAGE(C92:C94)</f>
        <v>0.43093198311407965</v>
      </c>
      <c r="H92" s="28">
        <f t="shared" ref="H92" si="121">AVERAGE(D92:D94)</f>
        <v>0.79260622416590021</v>
      </c>
      <c r="I92" s="28">
        <f t="shared" ref="I92" si="122">AVERAGE(E92:E94)</f>
        <v>0.53506709345262682</v>
      </c>
      <c r="J92" s="28">
        <f t="shared" ref="J92" si="123">AVERAGE(F92:F94)</f>
        <v>0.32122195484452515</v>
      </c>
    </row>
    <row r="93" spans="1:10" x14ac:dyDescent="0.25">
      <c r="A93" s="6"/>
      <c r="B93" s="2">
        <v>519</v>
      </c>
      <c r="C93" s="26">
        <v>0.44225007076001138</v>
      </c>
      <c r="D93" s="5">
        <v>0.79805045236339722</v>
      </c>
      <c r="E93" s="5">
        <v>0.5261250841800138</v>
      </c>
      <c r="F93" s="5">
        <v>0.32817763187350046</v>
      </c>
      <c r="G93" s="28"/>
      <c r="H93" s="28"/>
      <c r="I93" s="28"/>
      <c r="J93" s="28"/>
    </row>
    <row r="94" spans="1:10" x14ac:dyDescent="0.25">
      <c r="A94" s="6"/>
      <c r="B94" s="2" t="s">
        <v>113</v>
      </c>
      <c r="C94" s="26">
        <v>0.43534053231682301</v>
      </c>
      <c r="D94" s="5">
        <v>0.78734821850818248</v>
      </c>
      <c r="E94" s="5">
        <v>0.53085357519631216</v>
      </c>
      <c r="F94" s="5">
        <v>0.32817978590037433</v>
      </c>
      <c r="G94" s="28"/>
      <c r="H94" s="28"/>
      <c r="I94" s="28"/>
      <c r="J94" s="28"/>
    </row>
    <row r="95" spans="1:10" x14ac:dyDescent="0.25">
      <c r="A95" s="6" t="s">
        <v>32</v>
      </c>
      <c r="B95" s="2" t="s">
        <v>114</v>
      </c>
      <c r="C95" s="26">
        <v>0.42829999999999996</v>
      </c>
      <c r="D95" s="5">
        <v>0.79759999999999986</v>
      </c>
      <c r="E95" s="5">
        <v>0.67230000000000012</v>
      </c>
      <c r="F95" s="5">
        <v>0.38930032520325203</v>
      </c>
      <c r="G95" s="28">
        <f t="shared" ref="G95:H95" si="124">AVERAGE(C95:C97)</f>
        <v>0.45429999999999993</v>
      </c>
      <c r="H95" s="28">
        <f t="shared" si="124"/>
        <v>0.76729999999999998</v>
      </c>
      <c r="I95" s="28">
        <f t="shared" ref="I95:J95" si="125">AVERAGE(E95:E97)</f>
        <v>0.59460000000000013</v>
      </c>
      <c r="J95" s="28">
        <f t="shared" si="125"/>
        <v>0.41293247337057265</v>
      </c>
    </row>
    <row r="96" spans="1:10" x14ac:dyDescent="0.25">
      <c r="A96" s="6"/>
      <c r="B96" s="2" t="s">
        <v>115</v>
      </c>
      <c r="C96" s="26">
        <v>0.40679999999999994</v>
      </c>
      <c r="D96" s="5">
        <v>0.77389999999999992</v>
      </c>
      <c r="E96" s="5">
        <v>0.59400000000000008</v>
      </c>
      <c r="F96" s="5">
        <v>0.37516702954898917</v>
      </c>
      <c r="G96" s="28"/>
      <c r="H96" s="28"/>
      <c r="I96" s="28"/>
      <c r="J96" s="28"/>
    </row>
    <row r="97" spans="1:10" x14ac:dyDescent="0.25">
      <c r="A97" s="6"/>
      <c r="B97" s="2">
        <v>108</v>
      </c>
      <c r="C97" s="26">
        <v>0.52779999999999982</v>
      </c>
      <c r="D97" s="5">
        <v>0.73040000000000005</v>
      </c>
      <c r="E97" s="5">
        <v>0.51749999999999996</v>
      </c>
      <c r="F97" s="5">
        <v>0.47433006535947686</v>
      </c>
      <c r="G97" s="28"/>
      <c r="H97" s="28"/>
      <c r="I97" s="28"/>
      <c r="J97" s="28"/>
    </row>
    <row r="98" spans="1:10" x14ac:dyDescent="0.25">
      <c r="A98" s="6" t="s">
        <v>40</v>
      </c>
      <c r="B98" s="2">
        <v>1230</v>
      </c>
      <c r="C98" s="26">
        <v>0.60119045213082822</v>
      </c>
      <c r="D98" s="5">
        <v>0.76740251977013363</v>
      </c>
      <c r="E98" s="5">
        <v>0.56449948906931713</v>
      </c>
      <c r="F98" s="5">
        <v>0.32578477014910812</v>
      </c>
      <c r="G98" s="28">
        <f t="shared" ref="G98" si="126">AVERAGE(C98:C100)</f>
        <v>0.55604519612344971</v>
      </c>
      <c r="H98" s="28">
        <f t="shared" ref="H98" si="127">AVERAGE(D98:D100)</f>
        <v>0.76723543888187529</v>
      </c>
      <c r="I98" s="28">
        <f t="shared" ref="I98" si="128">AVERAGE(E98:E100)</f>
        <v>0.52991374519985979</v>
      </c>
      <c r="J98" s="28">
        <f t="shared" ref="J98" si="129">AVERAGE(F98:F100)</f>
        <v>0.3027499737864674</v>
      </c>
    </row>
    <row r="99" spans="1:10" x14ac:dyDescent="0.25">
      <c r="A99" s="6"/>
      <c r="B99" s="2">
        <v>1517</v>
      </c>
      <c r="C99" s="26">
        <v>0.52069088016800436</v>
      </c>
      <c r="D99" s="5">
        <v>0.7827405453122408</v>
      </c>
      <c r="E99" s="5">
        <v>0.54645475313742642</v>
      </c>
      <c r="F99" s="5">
        <v>0.28657742917155593</v>
      </c>
      <c r="G99" s="28"/>
      <c r="H99" s="28"/>
      <c r="I99" s="28"/>
      <c r="J99" s="28"/>
    </row>
    <row r="100" spans="1:10" x14ac:dyDescent="0.25">
      <c r="A100" s="6"/>
      <c r="B100" s="2">
        <v>1076</v>
      </c>
      <c r="C100" s="26">
        <v>0.54625425607151645</v>
      </c>
      <c r="D100" s="5">
        <v>0.75156325156325143</v>
      </c>
      <c r="E100" s="5">
        <v>0.4787869933928357</v>
      </c>
      <c r="F100" s="5">
        <v>0.29588772203873814</v>
      </c>
      <c r="G100" s="28"/>
      <c r="H100" s="28"/>
      <c r="I100" s="28"/>
      <c r="J100" s="28"/>
    </row>
    <row r="101" spans="1:10" x14ac:dyDescent="0.25">
      <c r="A101" s="6" t="s">
        <v>33</v>
      </c>
      <c r="B101" s="2">
        <v>118</v>
      </c>
      <c r="C101" s="26">
        <v>0.54870000000000008</v>
      </c>
      <c r="D101" s="5">
        <v>0.75789999999999991</v>
      </c>
      <c r="E101" s="5">
        <v>0.64649999999999985</v>
      </c>
      <c r="F101" s="5">
        <v>0.31220090634441094</v>
      </c>
      <c r="G101" s="28">
        <f t="shared" ref="G101:H101" si="130">AVERAGE(C101:C103)</f>
        <v>0.53433333333333333</v>
      </c>
      <c r="H101" s="28">
        <f t="shared" si="130"/>
        <v>0.76729999999999976</v>
      </c>
      <c r="I101" s="28">
        <f t="shared" ref="I101:J101" si="131">AVERAGE(E101:E103)</f>
        <v>0.61963333333333326</v>
      </c>
      <c r="J101" s="28">
        <f t="shared" si="131"/>
        <v>0.29783848408498037</v>
      </c>
    </row>
    <row r="102" spans="1:10" x14ac:dyDescent="0.25">
      <c r="A102" s="6"/>
      <c r="B102" s="2" t="s">
        <v>116</v>
      </c>
      <c r="C102" s="26">
        <v>0.50349999999999995</v>
      </c>
      <c r="D102" s="5">
        <v>0.78059999999999974</v>
      </c>
      <c r="E102" s="5">
        <v>0.63439999999999996</v>
      </c>
      <c r="F102" s="5">
        <v>0.28135325558794955</v>
      </c>
      <c r="G102" s="28"/>
      <c r="H102" s="28"/>
      <c r="I102" s="28"/>
      <c r="J102" s="28"/>
    </row>
    <row r="103" spans="1:10" x14ac:dyDescent="0.25">
      <c r="A103" s="6"/>
      <c r="B103" s="2" t="s">
        <v>117</v>
      </c>
      <c r="C103" s="26">
        <v>0.55079999999999996</v>
      </c>
      <c r="D103" s="5">
        <v>0.76339999999999997</v>
      </c>
      <c r="E103" s="5">
        <v>0.57799999999999985</v>
      </c>
      <c r="F103" s="5">
        <v>0.29996129032258056</v>
      </c>
      <c r="G103" s="28"/>
      <c r="H103" s="28"/>
      <c r="I103" s="28"/>
      <c r="J103" s="28"/>
    </row>
    <row r="104" spans="1:10" x14ac:dyDescent="0.25">
      <c r="A104" s="6" t="s">
        <v>34</v>
      </c>
      <c r="B104" s="2">
        <v>206</v>
      </c>
      <c r="C104" s="26">
        <v>0.48294975259663592</v>
      </c>
      <c r="D104" s="5">
        <v>0.79527772464703339</v>
      </c>
      <c r="E104" s="5">
        <v>0.47275007564001198</v>
      </c>
      <c r="F104" s="5">
        <v>0.28714453013956259</v>
      </c>
      <c r="G104" s="28">
        <f t="shared" ref="G104" si="132">AVERAGE(C104:C106)</f>
        <v>0.46478546003097082</v>
      </c>
      <c r="H104" s="28">
        <f t="shared" ref="H104" si="133">AVERAGE(D104:D106)</f>
        <v>0.77788518330083889</v>
      </c>
      <c r="I104" s="28">
        <f t="shared" ref="I104" si="134">AVERAGE(E104:E106)</f>
        <v>0.47093389586704487</v>
      </c>
      <c r="J104" s="28">
        <f t="shared" ref="J104" si="135">AVERAGE(F104:F106)</f>
        <v>0.27528817468446137</v>
      </c>
    </row>
    <row r="105" spans="1:10" x14ac:dyDescent="0.25">
      <c r="A105" s="6"/>
      <c r="B105" s="2">
        <v>789</v>
      </c>
      <c r="C105" s="26">
        <v>0.48670662749627658</v>
      </c>
      <c r="D105" s="5">
        <v>0.79777782525548313</v>
      </c>
      <c r="E105" s="5">
        <v>0.5048516119611226</v>
      </c>
      <c r="F105" s="5">
        <v>0.28734624689711524</v>
      </c>
      <c r="G105" s="28"/>
      <c r="H105" s="28"/>
      <c r="I105" s="28"/>
      <c r="J105" s="28"/>
    </row>
    <row r="106" spans="1:10" x14ac:dyDescent="0.25">
      <c r="A106" s="6"/>
      <c r="B106" s="2">
        <v>102</v>
      </c>
      <c r="C106" s="26">
        <v>0.42469999999999997</v>
      </c>
      <c r="D106" s="5">
        <v>0.74060000000000004</v>
      </c>
      <c r="E106" s="5">
        <v>0.43520000000000009</v>
      </c>
      <c r="F106" s="5">
        <v>0.25137374701670634</v>
      </c>
      <c r="G106" s="28"/>
      <c r="H106" s="28"/>
      <c r="I106" s="28"/>
      <c r="J106" s="28"/>
    </row>
    <row r="107" spans="1:10" x14ac:dyDescent="0.25">
      <c r="A107" s="6" t="s">
        <v>35</v>
      </c>
      <c r="B107" s="2" t="s">
        <v>118</v>
      </c>
      <c r="C107" s="26">
        <v>0.53900000000000003</v>
      </c>
      <c r="D107" s="5">
        <v>0.77180000000000004</v>
      </c>
      <c r="E107" s="5">
        <v>0.58629999999999993</v>
      </c>
      <c r="F107" s="5">
        <v>0.38667391304347826</v>
      </c>
      <c r="G107" s="28">
        <f t="shared" ref="G107" si="136">AVERAGE(C107:C109)</f>
        <v>0.50583333333333336</v>
      </c>
      <c r="H107" s="28">
        <f t="shared" ref="H107" si="137">AVERAGE(D107:D109)</f>
        <v>0.77149999999999996</v>
      </c>
      <c r="I107" s="28">
        <f t="shared" ref="I107" si="138">AVERAGE(E107:E109)</f>
        <v>0.57143333333333324</v>
      </c>
      <c r="J107" s="28">
        <f t="shared" ref="J107" si="139">AVERAGE(F107:F109)</f>
        <v>0.35793806844905257</v>
      </c>
    </row>
    <row r="108" spans="1:10" x14ac:dyDescent="0.25">
      <c r="A108" s="6"/>
      <c r="B108" s="2" t="s">
        <v>119</v>
      </c>
      <c r="C108" s="26">
        <v>0.45659999999999995</v>
      </c>
      <c r="D108" s="5">
        <v>0.77779999999999994</v>
      </c>
      <c r="E108" s="5">
        <v>0.51939999999999997</v>
      </c>
      <c r="F108" s="5">
        <v>0.32863566878980877</v>
      </c>
      <c r="G108" s="28"/>
      <c r="H108" s="28"/>
      <c r="I108" s="28"/>
      <c r="J108" s="28"/>
    </row>
    <row r="109" spans="1:10" x14ac:dyDescent="0.25">
      <c r="A109" s="6"/>
      <c r="B109" s="2">
        <v>103</v>
      </c>
      <c r="C109" s="26">
        <v>0.52190000000000003</v>
      </c>
      <c r="D109" s="5">
        <v>0.76489999999999991</v>
      </c>
      <c r="E109" s="5">
        <v>0.60859999999999992</v>
      </c>
      <c r="F109" s="5">
        <v>0.35850462351387063</v>
      </c>
      <c r="G109" s="28"/>
      <c r="H109" s="28"/>
      <c r="I109" s="28"/>
      <c r="J109" s="28"/>
    </row>
    <row r="110" spans="1:10" x14ac:dyDescent="0.25">
      <c r="A110" s="6" t="s">
        <v>36</v>
      </c>
      <c r="B110" s="2" t="s">
        <v>120</v>
      </c>
      <c r="C110" s="26">
        <v>0.45868590942870657</v>
      </c>
      <c r="D110" s="5">
        <v>0.80023892673952712</v>
      </c>
      <c r="E110" s="5">
        <v>0.51796286696496785</v>
      </c>
      <c r="F110" s="5">
        <v>0.2530282472667173</v>
      </c>
      <c r="G110" s="28">
        <f t="shared" ref="G110" si="140">AVERAGE(C110:C112)</f>
        <v>0.44783191722523008</v>
      </c>
      <c r="H110" s="28">
        <f t="shared" ref="H110" si="141">AVERAGE(D110:D112)</f>
        <v>0.80955034464215936</v>
      </c>
      <c r="I110" s="28">
        <f t="shared" ref="I110" si="142">AVERAGE(E110:E112)</f>
        <v>0.50265282747164397</v>
      </c>
      <c r="J110" s="28">
        <f t="shared" ref="J110" si="143">AVERAGE(F110:F112)</f>
        <v>0.24945337704388923</v>
      </c>
    </row>
    <row r="111" spans="1:10" x14ac:dyDescent="0.25">
      <c r="A111" s="6"/>
      <c r="B111" s="2">
        <v>455</v>
      </c>
      <c r="C111" s="26">
        <v>0.43688310661766699</v>
      </c>
      <c r="D111" s="5">
        <v>0.83466928538290419</v>
      </c>
      <c r="E111" s="5">
        <v>0.48319792884285373</v>
      </c>
      <c r="F111" s="5">
        <v>0.24327079755466499</v>
      </c>
      <c r="G111" s="28"/>
      <c r="H111" s="28"/>
      <c r="I111" s="28"/>
      <c r="J111" s="28"/>
    </row>
    <row r="112" spans="1:10" x14ac:dyDescent="0.25">
      <c r="A112" s="6"/>
      <c r="B112" s="2" t="s">
        <v>121</v>
      </c>
      <c r="C112" s="26">
        <v>0.44792673562931667</v>
      </c>
      <c r="D112" s="5">
        <v>0.79374282180404654</v>
      </c>
      <c r="E112" s="5">
        <v>0.50679768660711055</v>
      </c>
      <c r="F112" s="5">
        <v>0.25206108631028534</v>
      </c>
      <c r="G112" s="28"/>
      <c r="H112" s="28"/>
      <c r="I112" s="28"/>
      <c r="J112" s="28"/>
    </row>
    <row r="113" spans="1:10" x14ac:dyDescent="0.25">
      <c r="A113" s="6" t="s">
        <v>37</v>
      </c>
      <c r="B113" s="2">
        <v>121</v>
      </c>
      <c r="C113" s="26">
        <v>0.4914</v>
      </c>
      <c r="D113" s="5">
        <v>0.77260000000000018</v>
      </c>
      <c r="E113" s="5">
        <v>0.6080000000000001</v>
      </c>
      <c r="F113" s="5">
        <v>0.30837054429028815</v>
      </c>
      <c r="G113" s="28">
        <f t="shared" ref="G113:H113" si="144">AVERAGE(C113:C115)</f>
        <v>0.51450000000000007</v>
      </c>
      <c r="H113" s="28">
        <f t="shared" si="144"/>
        <v>0.76746666666666685</v>
      </c>
      <c r="I113" s="28">
        <f t="shared" ref="I113:J113" si="145">AVERAGE(E113:E115)</f>
        <v>0.6235666666666666</v>
      </c>
      <c r="J113" s="28">
        <f t="shared" si="145"/>
        <v>0.31902606048726423</v>
      </c>
    </row>
    <row r="114" spans="1:10" x14ac:dyDescent="0.25">
      <c r="A114" s="6"/>
      <c r="B114" s="2">
        <v>54</v>
      </c>
      <c r="C114" s="26">
        <v>0.49609999999999999</v>
      </c>
      <c r="D114" s="5">
        <v>0.77110000000000012</v>
      </c>
      <c r="E114" s="5">
        <v>0.64280000000000004</v>
      </c>
      <c r="F114" s="5">
        <v>0.30343470899470898</v>
      </c>
      <c r="G114" s="28"/>
      <c r="H114" s="28"/>
      <c r="I114" s="28"/>
      <c r="J114" s="28"/>
    </row>
    <row r="115" spans="1:10" x14ac:dyDescent="0.25">
      <c r="A115" s="6"/>
      <c r="B115" s="2" t="s">
        <v>122</v>
      </c>
      <c r="C115" s="26">
        <v>0.55600000000000005</v>
      </c>
      <c r="D115" s="5">
        <v>0.75870000000000004</v>
      </c>
      <c r="E115" s="5">
        <v>0.61989999999999978</v>
      </c>
      <c r="F115" s="5">
        <v>0.34527292817679556</v>
      </c>
      <c r="G115" s="28"/>
      <c r="H115" s="28"/>
      <c r="I115" s="28"/>
      <c r="J115" s="28"/>
    </row>
  </sheetData>
  <mergeCells count="266">
    <mergeCell ref="A104:A106"/>
    <mergeCell ref="A107:A109"/>
    <mergeCell ref="A110:A112"/>
    <mergeCell ref="A113:A115"/>
    <mergeCell ref="A89:A91"/>
    <mergeCell ref="A92:A94"/>
    <mergeCell ref="A95:A97"/>
    <mergeCell ref="A98:A100"/>
    <mergeCell ref="A101:A103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2:A4"/>
    <mergeCell ref="A5:A7"/>
    <mergeCell ref="A8:A10"/>
    <mergeCell ref="A11:A13"/>
    <mergeCell ref="G110:G112"/>
    <mergeCell ref="H110:H112"/>
    <mergeCell ref="I110:I112"/>
    <mergeCell ref="J110:J112"/>
    <mergeCell ref="G113:G115"/>
    <mergeCell ref="H113:H115"/>
    <mergeCell ref="I113:I115"/>
    <mergeCell ref="J113:J115"/>
    <mergeCell ref="G104:G106"/>
    <mergeCell ref="H104:H106"/>
    <mergeCell ref="I104:I106"/>
    <mergeCell ref="J104:J106"/>
    <mergeCell ref="G107:G109"/>
    <mergeCell ref="H107:H109"/>
    <mergeCell ref="I107:I109"/>
    <mergeCell ref="J107:J109"/>
    <mergeCell ref="G98:G100"/>
    <mergeCell ref="H98:H100"/>
    <mergeCell ref="I98:I100"/>
    <mergeCell ref="J98:J100"/>
    <mergeCell ref="G101:G103"/>
    <mergeCell ref="H101:H103"/>
    <mergeCell ref="I101:I103"/>
    <mergeCell ref="J101:J103"/>
    <mergeCell ref="G92:G94"/>
    <mergeCell ref="H92:H94"/>
    <mergeCell ref="I92:I94"/>
    <mergeCell ref="J92:J94"/>
    <mergeCell ref="G95:G97"/>
    <mergeCell ref="H95:H97"/>
    <mergeCell ref="I95:I97"/>
    <mergeCell ref="J95:J97"/>
    <mergeCell ref="G86:G88"/>
    <mergeCell ref="H86:H88"/>
    <mergeCell ref="I86:I88"/>
    <mergeCell ref="J86:J88"/>
    <mergeCell ref="G89:G91"/>
    <mergeCell ref="H89:H91"/>
    <mergeCell ref="I89:I91"/>
    <mergeCell ref="J89:J91"/>
    <mergeCell ref="H80:H82"/>
    <mergeCell ref="I80:I82"/>
    <mergeCell ref="J80:J82"/>
    <mergeCell ref="G83:G85"/>
    <mergeCell ref="H83:H85"/>
    <mergeCell ref="I83:I85"/>
    <mergeCell ref="J83:J85"/>
    <mergeCell ref="H74:H76"/>
    <mergeCell ref="I74:I76"/>
    <mergeCell ref="J74:J76"/>
    <mergeCell ref="G77:G79"/>
    <mergeCell ref="H77:H79"/>
    <mergeCell ref="I77:I79"/>
    <mergeCell ref="J77:J79"/>
    <mergeCell ref="H68:H70"/>
    <mergeCell ref="I68:I70"/>
    <mergeCell ref="J68:J70"/>
    <mergeCell ref="G71:G73"/>
    <mergeCell ref="H71:H73"/>
    <mergeCell ref="I71:I73"/>
    <mergeCell ref="J71:J73"/>
    <mergeCell ref="H62:H64"/>
    <mergeCell ref="I62:I64"/>
    <mergeCell ref="J62:J64"/>
    <mergeCell ref="G65:G67"/>
    <mergeCell ref="H65:H67"/>
    <mergeCell ref="I65:I67"/>
    <mergeCell ref="J65:J67"/>
    <mergeCell ref="H56:H58"/>
    <mergeCell ref="I56:I58"/>
    <mergeCell ref="J56:J58"/>
    <mergeCell ref="G59:G61"/>
    <mergeCell ref="H59:H61"/>
    <mergeCell ref="I59:I61"/>
    <mergeCell ref="J59:J61"/>
    <mergeCell ref="H50:H52"/>
    <mergeCell ref="I50:I52"/>
    <mergeCell ref="J50:J52"/>
    <mergeCell ref="G53:G55"/>
    <mergeCell ref="H53:H55"/>
    <mergeCell ref="I53:I55"/>
    <mergeCell ref="J53:J55"/>
    <mergeCell ref="I44:I46"/>
    <mergeCell ref="J44:J46"/>
    <mergeCell ref="G47:G49"/>
    <mergeCell ref="H47:H49"/>
    <mergeCell ref="I47:I49"/>
    <mergeCell ref="J47:J49"/>
    <mergeCell ref="G44:G46"/>
    <mergeCell ref="H44:H46"/>
    <mergeCell ref="I38:I40"/>
    <mergeCell ref="J38:J40"/>
    <mergeCell ref="H41:H43"/>
    <mergeCell ref="I41:I43"/>
    <mergeCell ref="J41:J43"/>
    <mergeCell ref="H23:H25"/>
    <mergeCell ref="I23:I25"/>
    <mergeCell ref="J23:J25"/>
    <mergeCell ref="G26:G28"/>
    <mergeCell ref="H26:H28"/>
    <mergeCell ref="I26:I28"/>
    <mergeCell ref="J26:J28"/>
    <mergeCell ref="H17:H19"/>
    <mergeCell ref="I17:I19"/>
    <mergeCell ref="J17:J19"/>
    <mergeCell ref="G20:G22"/>
    <mergeCell ref="H20:H22"/>
    <mergeCell ref="I20:I22"/>
    <mergeCell ref="J20:J22"/>
    <mergeCell ref="I11:I13"/>
    <mergeCell ref="J11:J13"/>
    <mergeCell ref="G14:G16"/>
    <mergeCell ref="H14:H16"/>
    <mergeCell ref="I14:I16"/>
    <mergeCell ref="J14:J16"/>
    <mergeCell ref="L46:L47"/>
    <mergeCell ref="L60:L61"/>
    <mergeCell ref="G2:G4"/>
    <mergeCell ref="H2:H4"/>
    <mergeCell ref="I2:I4"/>
    <mergeCell ref="J2:J4"/>
    <mergeCell ref="G5:G7"/>
    <mergeCell ref="H5:H7"/>
    <mergeCell ref="I5:I7"/>
    <mergeCell ref="J5:J7"/>
    <mergeCell ref="G8:G10"/>
    <mergeCell ref="H8:H10"/>
    <mergeCell ref="I8:I10"/>
    <mergeCell ref="J8:J10"/>
    <mergeCell ref="G11:G13"/>
    <mergeCell ref="H11:H13"/>
    <mergeCell ref="L68:L69"/>
    <mergeCell ref="L70:L71"/>
    <mergeCell ref="L72:L73"/>
    <mergeCell ref="L74:L75"/>
    <mergeCell ref="L76:L77"/>
    <mergeCell ref="L58:L59"/>
    <mergeCell ref="L62:L63"/>
    <mergeCell ref="L64:L65"/>
    <mergeCell ref="L66:L67"/>
    <mergeCell ref="L48:L49"/>
    <mergeCell ref="L50:L51"/>
    <mergeCell ref="L52:L53"/>
    <mergeCell ref="L54:L55"/>
    <mergeCell ref="L56:L57"/>
    <mergeCell ref="L38:L39"/>
    <mergeCell ref="L42:L43"/>
    <mergeCell ref="L40:L41"/>
    <mergeCell ref="L44:L45"/>
    <mergeCell ref="L30:L31"/>
    <mergeCell ref="L32:L33"/>
    <mergeCell ref="L34:L35"/>
    <mergeCell ref="L36:L37"/>
    <mergeCell ref="L28:L29"/>
    <mergeCell ref="H29:H31"/>
    <mergeCell ref="I29:I31"/>
    <mergeCell ref="J29:J31"/>
    <mergeCell ref="H32:H34"/>
    <mergeCell ref="I32:I34"/>
    <mergeCell ref="J32:J34"/>
    <mergeCell ref="H35:H37"/>
    <mergeCell ref="I35:I37"/>
    <mergeCell ref="J35:J37"/>
    <mergeCell ref="H38:H40"/>
    <mergeCell ref="L18:L19"/>
    <mergeCell ref="L20:L21"/>
    <mergeCell ref="L22:L23"/>
    <mergeCell ref="L24:L25"/>
    <mergeCell ref="L26:L27"/>
    <mergeCell ref="L8:L9"/>
    <mergeCell ref="L10:L11"/>
    <mergeCell ref="L12:L13"/>
    <mergeCell ref="L14:L15"/>
    <mergeCell ref="L16:L17"/>
    <mergeCell ref="G74:G76"/>
    <mergeCell ref="G80:G82"/>
    <mergeCell ref="G62:G64"/>
    <mergeCell ref="G68:G70"/>
    <mergeCell ref="G50:G52"/>
    <mergeCell ref="G56:G58"/>
    <mergeCell ref="G41:G43"/>
    <mergeCell ref="G38:G40"/>
    <mergeCell ref="G29:G31"/>
    <mergeCell ref="G32:G34"/>
    <mergeCell ref="G35:G37"/>
    <mergeCell ref="G17:G19"/>
    <mergeCell ref="G23:G25"/>
    <mergeCell ref="N68:N69"/>
    <mergeCell ref="N70:N71"/>
    <mergeCell ref="N72:N73"/>
    <mergeCell ref="N74:N75"/>
    <mergeCell ref="N76:N77"/>
    <mergeCell ref="N58:N59"/>
    <mergeCell ref="N60:N61"/>
    <mergeCell ref="N62:N63"/>
    <mergeCell ref="N64:N65"/>
    <mergeCell ref="N66:N67"/>
    <mergeCell ref="N48:N49"/>
    <mergeCell ref="N50:N51"/>
    <mergeCell ref="N52:N53"/>
    <mergeCell ref="N54:N55"/>
    <mergeCell ref="N56:N57"/>
    <mergeCell ref="N38:N39"/>
    <mergeCell ref="N40:N41"/>
    <mergeCell ref="N42:N43"/>
    <mergeCell ref="N44:N45"/>
    <mergeCell ref="N46:N47"/>
    <mergeCell ref="N28:N29"/>
    <mergeCell ref="N30:N31"/>
    <mergeCell ref="N32:N33"/>
    <mergeCell ref="N34:N35"/>
    <mergeCell ref="N36:N37"/>
    <mergeCell ref="N18:N19"/>
    <mergeCell ref="N20:N21"/>
    <mergeCell ref="N22:N23"/>
    <mergeCell ref="N24:N25"/>
    <mergeCell ref="N26:N27"/>
    <mergeCell ref="N8:N9"/>
    <mergeCell ref="N10:N11"/>
    <mergeCell ref="N12:N13"/>
    <mergeCell ref="N14:N15"/>
    <mergeCell ref="N16:N17"/>
    <mergeCell ref="N2:N3"/>
    <mergeCell ref="N4:N5"/>
    <mergeCell ref="N6:N7"/>
    <mergeCell ref="L2:L3"/>
    <mergeCell ref="L4:L5"/>
    <mergeCell ref="L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Pomedios, pH,MO,</vt:lpstr>
      <vt:lpstr>REP, Da, Humedad, 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Suqui</dc:creator>
  <cp:lastModifiedBy>Amanda Suqui</cp:lastModifiedBy>
  <dcterms:created xsi:type="dcterms:W3CDTF">2026-03-02T01:45:02Z</dcterms:created>
  <dcterms:modified xsi:type="dcterms:W3CDTF">2026-03-13T22:56:52Z</dcterms:modified>
</cp:coreProperties>
</file>